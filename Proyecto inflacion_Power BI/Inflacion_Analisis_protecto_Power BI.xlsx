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5162E02C-41AA-41F1-91C3-4B29F68147F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" sheetId="1" r:id="rId1"/>
    <sheet name="Pregunta1_07_24" sheetId="2" r:id="rId2"/>
    <sheet name="Pregunta2_Promedio" sheetId="3" r:id="rId3"/>
    <sheet name="Pregunta3_MesAM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2" l="1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</calcChain>
</file>

<file path=xl/sharedStrings.xml><?xml version="1.0" encoding="utf-8"?>
<sst xmlns="http://schemas.openxmlformats.org/spreadsheetml/2006/main" count="517" uniqueCount="246">
  <si>
    <t>Fecha</t>
  </si>
  <si>
    <t>Inflacion mensual</t>
  </si>
  <si>
    <t>Año</t>
  </si>
  <si>
    <t>factor mensual</t>
  </si>
  <si>
    <t>Mes</t>
  </si>
  <si>
    <t>Mes nombre</t>
  </si>
  <si>
    <t>Mes-Año</t>
  </si>
  <si>
    <t>January</t>
  </si>
  <si>
    <t>Jan-2007</t>
  </si>
  <si>
    <t>February</t>
  </si>
  <si>
    <t>Feb-2007</t>
  </si>
  <si>
    <t>March</t>
  </si>
  <si>
    <t>Mar-2007</t>
  </si>
  <si>
    <t>April</t>
  </si>
  <si>
    <t>Apr-2007</t>
  </si>
  <si>
    <t>May</t>
  </si>
  <si>
    <t>May-2007</t>
  </si>
  <si>
    <t>June</t>
  </si>
  <si>
    <t>Jun-2007</t>
  </si>
  <si>
    <t>July</t>
  </si>
  <si>
    <t>Jul-2007</t>
  </si>
  <si>
    <t>August</t>
  </si>
  <si>
    <t>Aug-2007</t>
  </si>
  <si>
    <t>September</t>
  </si>
  <si>
    <t>Sep-2007</t>
  </si>
  <si>
    <t>October</t>
  </si>
  <si>
    <t>Oct-2007</t>
  </si>
  <si>
    <t>November</t>
  </si>
  <si>
    <t>Nov-2007</t>
  </si>
  <si>
    <t>December</t>
  </si>
  <si>
    <t>Dec-2007</t>
  </si>
  <si>
    <t>Jan-2008</t>
  </si>
  <si>
    <t>Feb-2008</t>
  </si>
  <si>
    <t>Mar-2008</t>
  </si>
  <si>
    <t>Apr-2008</t>
  </si>
  <si>
    <t>May-2008</t>
  </si>
  <si>
    <t>Jun-2008</t>
  </si>
  <si>
    <t>Jul-2008</t>
  </si>
  <si>
    <t>Aug-2008</t>
  </si>
  <si>
    <t>Sep-2008</t>
  </si>
  <si>
    <t>Oct-2008</t>
  </si>
  <si>
    <t>Nov-2008</t>
  </si>
  <si>
    <t>Dec-2008</t>
  </si>
  <si>
    <t>Jan-2009</t>
  </si>
  <si>
    <t>Feb-2009</t>
  </si>
  <si>
    <t>Mar-2009</t>
  </si>
  <si>
    <t>Apr-2009</t>
  </si>
  <si>
    <t>May-2009</t>
  </si>
  <si>
    <t>Jun-2009</t>
  </si>
  <si>
    <t>Jul-2009</t>
  </si>
  <si>
    <t>Aug-2009</t>
  </si>
  <si>
    <t>Sep-2009</t>
  </si>
  <si>
    <t>Oct-2009</t>
  </si>
  <si>
    <t>Nov-2009</t>
  </si>
  <si>
    <t>Dec-2009</t>
  </si>
  <si>
    <t>Jan-2010</t>
  </si>
  <si>
    <t>Feb-2010</t>
  </si>
  <si>
    <t>Mar-2010</t>
  </si>
  <si>
    <t>Apr-2010</t>
  </si>
  <si>
    <t>May-2010</t>
  </si>
  <si>
    <t>Jun-2010</t>
  </si>
  <si>
    <t>Jul-2010</t>
  </si>
  <si>
    <t>Aug-2010</t>
  </si>
  <si>
    <t>Sep-2010</t>
  </si>
  <si>
    <t>Oct-2010</t>
  </si>
  <si>
    <t>Nov-2010</t>
  </si>
  <si>
    <t>Dec-2010</t>
  </si>
  <si>
    <t>Jan-2011</t>
  </si>
  <si>
    <t>Feb-2011</t>
  </si>
  <si>
    <t>Mar-2011</t>
  </si>
  <si>
    <t>Apr-2011</t>
  </si>
  <si>
    <t>May-2011</t>
  </si>
  <si>
    <t>Jun-2011</t>
  </si>
  <si>
    <t>Jul-2011</t>
  </si>
  <si>
    <t>Aug-2011</t>
  </si>
  <si>
    <t>Sep-2011</t>
  </si>
  <si>
    <t>Oct-2011</t>
  </si>
  <si>
    <t>Nov-2011</t>
  </si>
  <si>
    <t>Dec-2011</t>
  </si>
  <si>
    <t>Jan-2012</t>
  </si>
  <si>
    <t>Feb-2012</t>
  </si>
  <si>
    <t>Mar-2012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</si>
  <si>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</si>
  <si>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</si>
  <si>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</si>
  <si>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</si>
  <si>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</si>
  <si>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</si>
  <si>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</si>
  <si>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</si>
  <si>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</si>
  <si>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</si>
  <si>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</si>
  <si>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</si>
  <si>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</si>
  <si>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</si>
  <si>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</si>
  <si>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</si>
  <si>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</si>
  <si>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</si>
  <si>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</si>
  <si>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</si>
  <si>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</si>
  <si>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</si>
  <si>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</si>
  <si>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</si>
  <si>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</si>
  <si>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</si>
  <si>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</si>
  <si>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</si>
  <si>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</si>
  <si>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</si>
  <si>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</si>
  <si>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</si>
  <si>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</si>
  <si>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</si>
  <si>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</si>
  <si>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</si>
  <si>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</si>
  <si>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</si>
  <si>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</si>
  <si>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</si>
  <si>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</si>
  <si>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</si>
  <si>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</si>
  <si>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</si>
  <si>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</si>
  <si>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</si>
  <si>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</si>
  <si>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</si>
  <si>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</si>
  <si>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</si>
  <si>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</si>
  <si>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</si>
  <si>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</si>
  <si>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</si>
  <si>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</si>
  <si>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</si>
  <si>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</si>
  <si>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</si>
  <si>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</si>
  <si>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</si>
  <si>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</si>
  <si>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</si>
  <si>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</si>
  <si>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</si>
  <si>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</si>
  <si>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</si>
  <si>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</si>
  <si>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</si>
  <si>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</si>
  <si>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</si>
  <si>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</si>
  <si>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</si>
  <si>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</si>
  <si>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</si>
  <si>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</si>
  <si>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</si>
  <si>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</si>
  <si>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</si>
  <si>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</si>
  <si>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</si>
  <si>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</si>
  <si>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</si>
  <si>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</si>
  <si>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</si>
  <si>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</si>
  <si>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</si>
  <si>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</si>
  <si>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</si>
  <si>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</si>
  <si>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</si>
  <si>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</si>
  <si>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</si>
  <si>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</si>
  <si>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</si>
  <si>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</si>
  <si>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</si>
  <si>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</si>
  <si>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</si>
  <si>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</si>
  <si>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</si>
  <si>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</si>
  <si>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</si>
  <si>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</si>
  <si>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</si>
  <si>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</si>
  <si>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</si>
  <si>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</si>
  <si>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</si>
  <si>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</si>
  <si>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</si>
  <si>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</si>
  <si>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</si>
  <si>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</si>
  <si>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</si>
  <si>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</si>
  <si>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</si>
  <si>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</si>
  <si>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</si>
  <si>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</si>
  <si>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</si>
  <si>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</si>
  <si>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</si>
  <si>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</si>
  <si>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</si>
  <si>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</si>
  <si>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</si>
  <si>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</si>
  <si>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</si>
  <si>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</si>
  <si>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</si>
  <si>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</si>
  <si>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</si>
  <si>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</si>
  <si>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</si>
  <si>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</si>
  <si>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</si>
  <si>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</si>
  <si>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</si>
  <si>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</si>
  <si>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</si>
  <si>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</si>
  <si>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</si>
  <si>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</si>
  <si>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</si>
  <si>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</si>
  <si>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</si>
  <si>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</si>
  <si>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</si>
  <si>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</si>
  <si>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</si>
  <si>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</si>
  <si>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</si>
  <si>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</si>
  <si>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</si>
  <si>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</si>
  <si>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</si>
  <si>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</si>
  <si>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</si>
  <si>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</si>
  <si>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</si>
  <si>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Inflacion anual (%)</t>
  </si>
  <si>
    <t>año formato fecha</t>
  </si>
  <si>
    <t>MES FORMATO FECHA</t>
  </si>
  <si>
    <t>año-formato 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</si>
</sst>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yyyy"/>
    <numFmt numFmtId="166" formatCode="m"/>
    <numFmt numFmtId="167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  <xf numFmtId="164" fontId="2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166" fontId="2" fillId="0" borderId="1" xfId="0" applyNumberFormat="1" applyFont="1" applyBorder="1" applyAlignment="1">
      <alignment horizontal="center" vertical="top"/>
    </xf>
    <xf numFmtId="166" fontId="0" fillId="0" borderId="0" xfId="0" applyNumberFormat="1"/>
    <xf numFmtId="167" fontId="1" fillId="0" borderId="1" xfId="0" applyNumberFormat="1" applyFont="1" applyBorder="1" applyAlignment="1">
      <alignment horizontal="center" vertical="top"/>
    </xf>
    <xf numFmtId="167" fontId="0" fillId="0" borderId="0" xfId="0" applyNumberFormat="1"/>
    <xf numFmtId="165" fontId="2" fillId="0" borderId="1" xfId="0" applyNumberFormat="1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21">
    <dxf>
      <numFmt numFmtId="2" formatCode="0.00"/>
    </dxf>
    <dxf>
      <numFmt numFmtId="167" formatCode="[$-F800]dddd\,\ mmmm\ dd\,\ yyyy"/>
    </dxf>
    <dxf>
      <numFmt numFmtId="2" formatCode="0.00"/>
    </dxf>
    <dxf>
      <numFmt numFmtId="167" formatCode="[$-F800]dddd\,\ mmmm\ dd\,\ yyyy"/>
    </dxf>
    <dxf>
      <numFmt numFmtId="2" formatCode="0.00"/>
    </dxf>
    <dxf>
      <numFmt numFmtId="165" formatCode="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7" formatCode="[$-F800]dddd\,\ mmmm\ dd\,\ yyyy"/>
    </dxf>
    <dxf>
      <numFmt numFmtId="167" formatCode="[$-F800]dddd\,\ mmmm\ dd\,\ yyyy"/>
    </dxf>
    <dxf>
      <numFmt numFmtId="166" formatCode="m"/>
    </dxf>
    <dxf>
      <numFmt numFmtId="165" formatCode="yyyy"/>
    </dxf>
    <dxf>
      <numFmt numFmtId="164" formatCode="yyyy\-mm\-dd;@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1C3867-2D8F-4AD2-AFD2-55DD9F1B0E19}" name="Tabla2" displayName="Tabla2" ref="A1:I224" totalsRowShown="0" headerRowDxfId="20" headerRowBorderDxfId="19" tableBorderDxfId="18">
  <autoFilter ref="A1:I224" xr:uid="{F91C3867-2D8F-4AD2-AFD2-55DD9F1B0E19}"/>
  <tableColumns count="9">
    <tableColumn id="1" xr3:uid="{EB9B9886-61D5-46AA-991A-D91270B90606}" name="Fecha" dataDxfId="17"/>
    <tableColumn id="2" xr3:uid="{FEDF6B46-8017-4233-9F3E-3118F135DD6B}" name="Inflacion mensual"/>
    <tableColumn id="3" xr3:uid="{8B513183-778C-4DAB-A5DC-706DCC577A25}" name="Año"/>
    <tableColumn id="8" xr3:uid="{60825AB9-83E6-4A8F-951C-5BACDE695C8B}" name="año formato fecha" dataDxfId="16">
      <calculatedColumnFormula>DATE(Tabla2[[#This Row],[Año]],1,1)</calculatedColumnFormula>
    </tableColumn>
    <tableColumn id="4" xr3:uid="{9A4C7405-9AA6-4D68-A5B0-C2E3C23467C2}" name="factor mensual"/>
    <tableColumn id="5" xr3:uid="{287146D6-1AE4-4ED3-982C-8350D3DBC5C6}" name="Mes"/>
    <tableColumn id="9" xr3:uid="{6086F791-B011-403A-A511-BC4AF1DDE087}" name="MES FORMATO FECHA" dataDxfId="15">
      <calculatedColumnFormula>DATE(1,Tabla2[[#This Row],[Mes]],1)</calculatedColumnFormula>
    </tableColumn>
    <tableColumn id="6" xr3:uid="{969CAB77-6700-4449-BF32-D9BA1FBA2930}" name="Mes nombre" dataDxfId="14"/>
    <tableColumn id="7" xr3:uid="{A77A0482-7704-47EB-B619-B696D6D708B2}" name="Mes-Año" dataDxfId="1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D3D5EA-237B-484D-8EB8-771CAF160446}" name="Pregunta1" displayName="Pregunta1" ref="A1:C19" totalsRowShown="0" headerRowDxfId="12" headerRowBorderDxfId="11" tableBorderDxfId="10">
  <autoFilter ref="A1:C19" xr:uid="{C4D3D5EA-237B-484D-8EB8-771CAF160446}"/>
  <tableColumns count="3">
    <tableColumn id="1" xr3:uid="{9093F941-B0AF-4259-AEB1-6D2CBC4BC684}" name="Año"/>
    <tableColumn id="3" xr3:uid="{BB75657A-0BC9-4F59-9A0F-19219431943B}" name="año-formato fecha" dataDxfId="5">
      <calculatedColumnFormula>DATE(A2,1,1)</calculatedColumnFormula>
    </tableColumn>
    <tableColumn id="2" xr3:uid="{0C04AF6D-D20B-40AF-94FD-0BC4D56A441C}" name="Inflacion anual (%)" dataDxfId="4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524E8B6-C288-46C2-85C2-94F1D60EC540}" name="Pregunta2" displayName="Pregunta2" ref="A1:B13" totalsRowShown="0" headerRowBorderDxfId="9" tableBorderDxfId="8">
  <autoFilter ref="A1:B13" xr:uid="{C524E8B6-C288-46C2-85C2-94F1D60EC540}"/>
  <tableColumns count="2">
    <tableColumn id="1" xr3:uid="{CE2CDFD5-FA6B-4477-855D-5D1BAEFCBF56}" name="Mes nombre" dataDxfId="3"/>
    <tableColumn id="2" xr3:uid="{A4AECFD3-045C-4DE6-BAC6-266E999DB92E}" name="Inflacion mensual" dataDxfId="2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6E749F-989B-43FA-9F82-93F4C9981D66}" name="Pregunta3" displayName="Pregunta3" ref="A1:B44" totalsRowShown="0" headerRowBorderDxfId="7" tableBorderDxfId="6">
  <autoFilter ref="A1:B44" xr:uid="{696E749F-989B-43FA-9F82-93F4C9981D66}"/>
  <tableColumns count="2">
    <tableColumn id="1" xr3:uid="{91EDACCF-4BD4-44A6-94D6-3F8588617CC1}" name="Mes-Año" dataDxfId="1"/>
    <tableColumn id="2" xr3:uid="{20038ADC-F1A1-4A03-BAE9-988162BEEA96}" name="Inflacion mensual" dataDxfId="0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4"/>
  <sheetViews>
    <sheetView workbookViewId="0">
      <selection activeCell="M17" sqref="M17"/>
    </sheetView>
  </sheetViews>
  <sheetFormatPr baseColWidth="10" defaultColWidth="9.140625" defaultRowHeight="15" x14ac:dyDescent="0.25"/>
  <cols>
    <col min="1" max="1" width="18.140625" style="3" bestFit="1" customWidth="1"/>
    <col min="2" max="2" width="18.85546875" customWidth="1"/>
    <col min="3" max="3" width="12.5703125" hidden="1" customWidth="1"/>
    <col min="4" max="4" width="21.85546875" style="3" bestFit="1" customWidth="1"/>
    <col min="5" max="5" width="16.28515625" customWidth="1"/>
    <col min="6" max="6" width="9.42578125" hidden="1" customWidth="1"/>
    <col min="7" max="7" width="25.28515625" style="8" bestFit="1" customWidth="1"/>
    <col min="8" max="8" width="14.42578125" style="10" customWidth="1"/>
    <col min="9" max="9" width="16.7109375" style="10" customWidth="1"/>
  </cols>
  <sheetData>
    <row r="1" spans="1:9" x14ac:dyDescent="0.25">
      <c r="A1" s="2" t="s">
        <v>0</v>
      </c>
      <c r="B1" s="1" t="s">
        <v>1</v>
      </c>
      <c r="C1" s="4" t="s">
        <v>2</v>
      </c>
      <c r="D1" s="5" t="s">
        <v>243</v>
      </c>
      <c r="E1" s="1" t="s">
        <v>3</v>
      </c>
      <c r="F1" s="1" t="s">
        <v>4</v>
      </c>
      <c r="G1" s="7" t="s">
        <v>244</v>
      </c>
      <c r="H1" s="9" t="s">
        <v>5</v>
      </c>
      <c r="I1" s="9" t="s">
        <v>6</v>
      </c>
    </row>
    <row r="2" spans="1:9" x14ac:dyDescent="0.25">
      <c r="A2" s="3">
        <v>39113</v>
      </c>
      <c r="B2">
        <v>1.1000000000000001</v>
      </c>
      <c r="C2">
        <v>2007</v>
      </c>
      <c r="D2" s="6">
        <f>DATE(Tabla2[[#This Row],[Año]],1,1)</f>
        <v>39083</v>
      </c>
      <c r="E2">
        <v>1.0109999999999999</v>
      </c>
      <c r="F2">
        <v>1</v>
      </c>
      <c r="G2" s="8">
        <f>DATE(1,Tabla2[[#This Row],[Mes]],1)</f>
        <v>367</v>
      </c>
      <c r="H2" s="10" t="s">
        <v>7</v>
      </c>
      <c r="I2" s="10" t="s">
        <v>8</v>
      </c>
    </row>
    <row r="3" spans="1:9" x14ac:dyDescent="0.25">
      <c r="A3" s="3">
        <v>39141</v>
      </c>
      <c r="B3">
        <v>0.3</v>
      </c>
      <c r="C3">
        <v>2007</v>
      </c>
      <c r="D3" s="6">
        <f>DATE(Tabla2[[#This Row],[Año]],1,1)</f>
        <v>39083</v>
      </c>
      <c r="E3">
        <v>1.0029999999999999</v>
      </c>
      <c r="F3">
        <v>2</v>
      </c>
      <c r="G3" s="8">
        <f>DATE(1,Tabla2[[#This Row],[Mes]],1)</f>
        <v>398</v>
      </c>
      <c r="H3" s="10" t="s">
        <v>9</v>
      </c>
      <c r="I3" s="10" t="s">
        <v>10</v>
      </c>
    </row>
    <row r="4" spans="1:9" x14ac:dyDescent="0.25">
      <c r="A4" s="3">
        <v>39172</v>
      </c>
      <c r="B4">
        <v>0.8</v>
      </c>
      <c r="C4">
        <v>2007</v>
      </c>
      <c r="D4" s="6">
        <f>DATE(Tabla2[[#This Row],[Año]],1,1)</f>
        <v>39083</v>
      </c>
      <c r="E4">
        <v>1.008</v>
      </c>
      <c r="F4">
        <v>3</v>
      </c>
      <c r="G4" s="8">
        <f>DATE(1,Tabla2[[#This Row],[Mes]],1)</f>
        <v>426</v>
      </c>
      <c r="H4" s="10" t="s">
        <v>11</v>
      </c>
      <c r="I4" s="10" t="s">
        <v>12</v>
      </c>
    </row>
    <row r="5" spans="1:9" x14ac:dyDescent="0.25">
      <c r="A5" s="3">
        <v>39202</v>
      </c>
      <c r="B5">
        <v>0.7</v>
      </c>
      <c r="C5">
        <v>2007</v>
      </c>
      <c r="D5" s="6">
        <f>DATE(Tabla2[[#This Row],[Año]],1,1)</f>
        <v>39083</v>
      </c>
      <c r="E5">
        <v>1.0069999999999999</v>
      </c>
      <c r="F5">
        <v>4</v>
      </c>
      <c r="G5" s="8">
        <f>DATE(1,Tabla2[[#This Row],[Mes]],1)</f>
        <v>457</v>
      </c>
      <c r="H5" s="10" t="s">
        <v>13</v>
      </c>
      <c r="I5" s="10" t="s">
        <v>14</v>
      </c>
    </row>
    <row r="6" spans="1:9" x14ac:dyDescent="0.25">
      <c r="A6" s="3">
        <v>39233</v>
      </c>
      <c r="B6">
        <v>0.4</v>
      </c>
      <c r="C6">
        <v>2007</v>
      </c>
      <c r="D6" s="6">
        <f>DATE(Tabla2[[#This Row],[Año]],1,1)</f>
        <v>39083</v>
      </c>
      <c r="E6">
        <v>1.004</v>
      </c>
      <c r="F6">
        <v>5</v>
      </c>
      <c r="G6" s="8">
        <f>DATE(1,Tabla2[[#This Row],[Mes]],1)</f>
        <v>487</v>
      </c>
      <c r="H6" s="10" t="s">
        <v>15</v>
      </c>
      <c r="I6" s="10" t="s">
        <v>16</v>
      </c>
    </row>
    <row r="7" spans="1:9" x14ac:dyDescent="0.25">
      <c r="A7" s="3">
        <v>39263</v>
      </c>
      <c r="B7">
        <v>0.4</v>
      </c>
      <c r="C7">
        <v>2007</v>
      </c>
      <c r="D7" s="6">
        <f>DATE(Tabla2[[#This Row],[Año]],1,1)</f>
        <v>39083</v>
      </c>
      <c r="E7">
        <v>1.004</v>
      </c>
      <c r="F7">
        <v>6</v>
      </c>
      <c r="G7" s="8">
        <f>DATE(1,Tabla2[[#This Row],[Mes]],1)</f>
        <v>518</v>
      </c>
      <c r="H7" s="10" t="s">
        <v>17</v>
      </c>
      <c r="I7" s="10" t="s">
        <v>18</v>
      </c>
    </row>
    <row r="8" spans="1:9" x14ac:dyDescent="0.25">
      <c r="A8" s="3">
        <v>39294</v>
      </c>
      <c r="B8">
        <v>0.5</v>
      </c>
      <c r="C8">
        <v>2007</v>
      </c>
      <c r="D8" s="6">
        <f>DATE(Tabla2[[#This Row],[Año]],1,1)</f>
        <v>39083</v>
      </c>
      <c r="E8">
        <v>1.0049999999999999</v>
      </c>
      <c r="F8">
        <v>7</v>
      </c>
      <c r="G8" s="8">
        <f>DATE(1,Tabla2[[#This Row],[Mes]],1)</f>
        <v>548</v>
      </c>
      <c r="H8" s="10" t="s">
        <v>19</v>
      </c>
      <c r="I8" s="10" t="s">
        <v>20</v>
      </c>
    </row>
    <row r="9" spans="1:9" x14ac:dyDescent="0.25">
      <c r="A9" s="3">
        <v>39325</v>
      </c>
      <c r="B9">
        <v>0.6</v>
      </c>
      <c r="C9">
        <v>2007</v>
      </c>
      <c r="D9" s="6">
        <f>DATE(Tabla2[[#This Row],[Año]],1,1)</f>
        <v>39083</v>
      </c>
      <c r="E9">
        <v>1.006</v>
      </c>
      <c r="F9">
        <v>8</v>
      </c>
      <c r="G9" s="8">
        <f>DATE(1,Tabla2[[#This Row],[Mes]],1)</f>
        <v>579</v>
      </c>
      <c r="H9" s="10" t="s">
        <v>21</v>
      </c>
      <c r="I9" s="10" t="s">
        <v>22</v>
      </c>
    </row>
    <row r="10" spans="1:9" x14ac:dyDescent="0.25">
      <c r="A10" s="3">
        <v>39355</v>
      </c>
      <c r="B10">
        <v>0.8</v>
      </c>
      <c r="C10">
        <v>2007</v>
      </c>
      <c r="D10" s="6">
        <f>DATE(Tabla2[[#This Row],[Año]],1,1)</f>
        <v>39083</v>
      </c>
      <c r="E10">
        <v>1.008</v>
      </c>
      <c r="F10">
        <v>9</v>
      </c>
      <c r="G10" s="8">
        <f>DATE(1,Tabla2[[#This Row],[Mes]],1)</f>
        <v>610</v>
      </c>
      <c r="H10" s="10" t="s">
        <v>23</v>
      </c>
      <c r="I10" s="10" t="s">
        <v>24</v>
      </c>
    </row>
    <row r="11" spans="1:9" x14ac:dyDescent="0.25">
      <c r="A11" s="3">
        <v>39386</v>
      </c>
      <c r="B11">
        <v>0.7</v>
      </c>
      <c r="C11">
        <v>2007</v>
      </c>
      <c r="D11" s="6">
        <f>DATE(Tabla2[[#This Row],[Año]],1,1)</f>
        <v>39083</v>
      </c>
      <c r="E11">
        <v>1.0069999999999999</v>
      </c>
      <c r="F11">
        <v>10</v>
      </c>
      <c r="G11" s="8">
        <f>DATE(1,Tabla2[[#This Row],[Mes]],1)</f>
        <v>640</v>
      </c>
      <c r="H11" s="10" t="s">
        <v>25</v>
      </c>
      <c r="I11" s="10" t="s">
        <v>26</v>
      </c>
    </row>
    <row r="12" spans="1:9" x14ac:dyDescent="0.25">
      <c r="A12" s="3">
        <v>39416</v>
      </c>
      <c r="B12">
        <v>0.9</v>
      </c>
      <c r="C12">
        <v>2007</v>
      </c>
      <c r="D12" s="6">
        <f>DATE(Tabla2[[#This Row],[Año]],1,1)</f>
        <v>39083</v>
      </c>
      <c r="E12">
        <v>1.0089999999999999</v>
      </c>
      <c r="F12">
        <v>11</v>
      </c>
      <c r="G12" s="8">
        <f>DATE(1,Tabla2[[#This Row],[Mes]],1)</f>
        <v>671</v>
      </c>
      <c r="H12" s="10" t="s">
        <v>27</v>
      </c>
      <c r="I12" s="10" t="s">
        <v>28</v>
      </c>
    </row>
    <row r="13" spans="1:9" x14ac:dyDescent="0.25">
      <c r="A13" s="3">
        <v>39447</v>
      </c>
      <c r="B13">
        <v>0.9</v>
      </c>
      <c r="C13">
        <v>2007</v>
      </c>
      <c r="D13" s="6">
        <f>DATE(Tabla2[[#This Row],[Año]],1,1)</f>
        <v>39083</v>
      </c>
      <c r="E13">
        <v>1.0089999999999999</v>
      </c>
      <c r="F13">
        <v>12</v>
      </c>
      <c r="G13" s="8">
        <f>DATE(1,Tabla2[[#This Row],[Mes]],1)</f>
        <v>701</v>
      </c>
      <c r="H13" s="10" t="s">
        <v>29</v>
      </c>
      <c r="I13" s="10" t="s">
        <v>30</v>
      </c>
    </row>
    <row r="14" spans="1:9" x14ac:dyDescent="0.25">
      <c r="A14" s="3">
        <v>39478</v>
      </c>
      <c r="B14">
        <v>0.9</v>
      </c>
      <c r="C14">
        <v>2008</v>
      </c>
      <c r="D14" s="6">
        <f>DATE(Tabla2[[#This Row],[Año]],1,1)</f>
        <v>39448</v>
      </c>
      <c r="E14">
        <v>1.0089999999999999</v>
      </c>
      <c r="F14">
        <v>1</v>
      </c>
      <c r="G14" s="8">
        <f>DATE(1,Tabla2[[#This Row],[Mes]],1)</f>
        <v>367</v>
      </c>
      <c r="H14" s="10" t="s">
        <v>7</v>
      </c>
      <c r="I14" s="10" t="s">
        <v>31</v>
      </c>
    </row>
    <row r="15" spans="1:9" x14ac:dyDescent="0.25">
      <c r="A15" s="3">
        <v>39507</v>
      </c>
      <c r="B15">
        <v>0.5</v>
      </c>
      <c r="C15">
        <v>2008</v>
      </c>
      <c r="D15" s="6">
        <f>DATE(Tabla2[[#This Row],[Año]],1,1)</f>
        <v>39448</v>
      </c>
      <c r="E15">
        <v>1.0049999999999999</v>
      </c>
      <c r="F15">
        <v>2</v>
      </c>
      <c r="G15" s="8">
        <f>DATE(1,Tabla2[[#This Row],[Mes]],1)</f>
        <v>398</v>
      </c>
      <c r="H15" s="10" t="s">
        <v>9</v>
      </c>
      <c r="I15" s="10" t="s">
        <v>32</v>
      </c>
    </row>
    <row r="16" spans="1:9" x14ac:dyDescent="0.25">
      <c r="A16" s="3">
        <v>39538</v>
      </c>
      <c r="B16">
        <v>1.1000000000000001</v>
      </c>
      <c r="C16">
        <v>2008</v>
      </c>
      <c r="D16" s="6">
        <f>DATE(Tabla2[[#This Row],[Año]],1,1)</f>
        <v>39448</v>
      </c>
      <c r="E16">
        <v>1.0109999999999999</v>
      </c>
      <c r="F16">
        <v>3</v>
      </c>
      <c r="G16" s="8">
        <f>DATE(1,Tabla2[[#This Row],[Mes]],1)</f>
        <v>426</v>
      </c>
      <c r="H16" s="10" t="s">
        <v>11</v>
      </c>
      <c r="I16" s="10" t="s">
        <v>33</v>
      </c>
    </row>
    <row r="17" spans="1:9" x14ac:dyDescent="0.25">
      <c r="A17" s="3">
        <v>39568</v>
      </c>
      <c r="B17">
        <v>0.8</v>
      </c>
      <c r="C17">
        <v>2008</v>
      </c>
      <c r="D17" s="6">
        <f>DATE(Tabla2[[#This Row],[Año]],1,1)</f>
        <v>39448</v>
      </c>
      <c r="E17">
        <v>1.008</v>
      </c>
      <c r="F17">
        <v>4</v>
      </c>
      <c r="G17" s="8">
        <f>DATE(1,Tabla2[[#This Row],[Mes]],1)</f>
        <v>457</v>
      </c>
      <c r="H17" s="10" t="s">
        <v>13</v>
      </c>
      <c r="I17" s="10" t="s">
        <v>34</v>
      </c>
    </row>
    <row r="18" spans="1:9" x14ac:dyDescent="0.25">
      <c r="A18" s="3">
        <v>39599</v>
      </c>
      <c r="B18">
        <v>0.6</v>
      </c>
      <c r="C18">
        <v>2008</v>
      </c>
      <c r="D18" s="6">
        <f>DATE(Tabla2[[#This Row],[Año]],1,1)</f>
        <v>39448</v>
      </c>
      <c r="E18">
        <v>1.006</v>
      </c>
      <c r="F18">
        <v>5</v>
      </c>
      <c r="G18" s="8">
        <f>DATE(1,Tabla2[[#This Row],[Mes]],1)</f>
        <v>487</v>
      </c>
      <c r="H18" s="10" t="s">
        <v>15</v>
      </c>
      <c r="I18" s="10" t="s">
        <v>35</v>
      </c>
    </row>
    <row r="19" spans="1:9" x14ac:dyDescent="0.25">
      <c r="A19" s="3">
        <v>39629</v>
      </c>
      <c r="B19">
        <v>0.6</v>
      </c>
      <c r="C19">
        <v>2008</v>
      </c>
      <c r="D19" s="6">
        <f>DATE(Tabla2[[#This Row],[Año]],1,1)</f>
        <v>39448</v>
      </c>
      <c r="E19">
        <v>1.006</v>
      </c>
      <c r="F19">
        <v>6</v>
      </c>
      <c r="G19" s="8">
        <f>DATE(1,Tabla2[[#This Row],[Mes]],1)</f>
        <v>518</v>
      </c>
      <c r="H19" s="10" t="s">
        <v>17</v>
      </c>
      <c r="I19" s="10" t="s">
        <v>36</v>
      </c>
    </row>
    <row r="20" spans="1:9" x14ac:dyDescent="0.25">
      <c r="A20" s="3">
        <v>39660</v>
      </c>
      <c r="B20">
        <v>0.4</v>
      </c>
      <c r="C20">
        <v>2008</v>
      </c>
      <c r="D20" s="6">
        <f>DATE(Tabla2[[#This Row],[Año]],1,1)</f>
        <v>39448</v>
      </c>
      <c r="E20">
        <v>1.004</v>
      </c>
      <c r="F20">
        <v>7</v>
      </c>
      <c r="G20" s="8">
        <f>DATE(1,Tabla2[[#This Row],[Mes]],1)</f>
        <v>548</v>
      </c>
      <c r="H20" s="10" t="s">
        <v>19</v>
      </c>
      <c r="I20" s="10" t="s">
        <v>37</v>
      </c>
    </row>
    <row r="21" spans="1:9" x14ac:dyDescent="0.25">
      <c r="A21" s="3">
        <v>39691</v>
      </c>
      <c r="B21">
        <v>0.5</v>
      </c>
      <c r="C21">
        <v>2008</v>
      </c>
      <c r="D21" s="6">
        <f>DATE(Tabla2[[#This Row],[Año]],1,1)</f>
        <v>39448</v>
      </c>
      <c r="E21">
        <v>1.0049999999999999</v>
      </c>
      <c r="F21">
        <v>8</v>
      </c>
      <c r="G21" s="8">
        <f>DATE(1,Tabla2[[#This Row],[Mes]],1)</f>
        <v>579</v>
      </c>
      <c r="H21" s="10" t="s">
        <v>21</v>
      </c>
      <c r="I21" s="10" t="s">
        <v>38</v>
      </c>
    </row>
    <row r="22" spans="1:9" x14ac:dyDescent="0.25">
      <c r="A22" s="3">
        <v>39721</v>
      </c>
      <c r="B22">
        <v>0.5</v>
      </c>
      <c r="C22">
        <v>2008</v>
      </c>
      <c r="D22" s="6">
        <f>DATE(Tabla2[[#This Row],[Año]],1,1)</f>
        <v>39448</v>
      </c>
      <c r="E22">
        <v>1.0049999999999999</v>
      </c>
      <c r="F22">
        <v>9</v>
      </c>
      <c r="G22" s="8">
        <f>DATE(1,Tabla2[[#This Row],[Mes]],1)</f>
        <v>610</v>
      </c>
      <c r="H22" s="10" t="s">
        <v>23</v>
      </c>
      <c r="I22" s="10" t="s">
        <v>39</v>
      </c>
    </row>
    <row r="23" spans="1:9" x14ac:dyDescent="0.25">
      <c r="A23" s="3">
        <v>39752</v>
      </c>
      <c r="B23">
        <v>0.4</v>
      </c>
      <c r="C23">
        <v>2008</v>
      </c>
      <c r="D23" s="6">
        <f>DATE(Tabla2[[#This Row],[Año]],1,1)</f>
        <v>39448</v>
      </c>
      <c r="E23">
        <v>1.004</v>
      </c>
      <c r="F23">
        <v>10</v>
      </c>
      <c r="G23" s="8">
        <f>DATE(1,Tabla2[[#This Row],[Mes]],1)</f>
        <v>640</v>
      </c>
      <c r="H23" s="10" t="s">
        <v>25</v>
      </c>
      <c r="I23" s="10" t="s">
        <v>40</v>
      </c>
    </row>
    <row r="24" spans="1:9" x14ac:dyDescent="0.25">
      <c r="A24" s="3">
        <v>39782</v>
      </c>
      <c r="B24">
        <v>0.3</v>
      </c>
      <c r="C24">
        <v>2008</v>
      </c>
      <c r="D24" s="6">
        <f>DATE(Tabla2[[#This Row],[Año]],1,1)</f>
        <v>39448</v>
      </c>
      <c r="E24">
        <v>1.0029999999999999</v>
      </c>
      <c r="F24">
        <v>11</v>
      </c>
      <c r="G24" s="8">
        <f>DATE(1,Tabla2[[#This Row],[Mes]],1)</f>
        <v>671</v>
      </c>
      <c r="H24" s="10" t="s">
        <v>27</v>
      </c>
      <c r="I24" s="10" t="s">
        <v>41</v>
      </c>
    </row>
    <row r="25" spans="1:9" x14ac:dyDescent="0.25">
      <c r="A25" s="3">
        <v>39813</v>
      </c>
      <c r="B25">
        <v>0.3</v>
      </c>
      <c r="C25">
        <v>2008</v>
      </c>
      <c r="D25" s="6">
        <f>DATE(Tabla2[[#This Row],[Año]],1,1)</f>
        <v>39448</v>
      </c>
      <c r="E25">
        <v>1.0029999999999999</v>
      </c>
      <c r="F25">
        <v>12</v>
      </c>
      <c r="G25" s="8">
        <f>DATE(1,Tabla2[[#This Row],[Mes]],1)</f>
        <v>701</v>
      </c>
      <c r="H25" s="10" t="s">
        <v>29</v>
      </c>
      <c r="I25" s="10" t="s">
        <v>42</v>
      </c>
    </row>
    <row r="26" spans="1:9" x14ac:dyDescent="0.25">
      <c r="A26" s="3">
        <v>39844</v>
      </c>
      <c r="B26">
        <v>0.5</v>
      </c>
      <c r="C26">
        <v>2009</v>
      </c>
      <c r="D26" s="6">
        <f>DATE(Tabla2[[#This Row],[Año]],1,1)</f>
        <v>39814</v>
      </c>
      <c r="E26">
        <v>1.0049999999999999</v>
      </c>
      <c r="F26">
        <v>1</v>
      </c>
      <c r="G26" s="8">
        <f>DATE(1,Tabla2[[#This Row],[Mes]],1)</f>
        <v>367</v>
      </c>
      <c r="H26" s="10" t="s">
        <v>7</v>
      </c>
      <c r="I26" s="10" t="s">
        <v>43</v>
      </c>
    </row>
    <row r="27" spans="1:9" x14ac:dyDescent="0.25">
      <c r="A27" s="3">
        <v>39872</v>
      </c>
      <c r="B27">
        <v>0.4</v>
      </c>
      <c r="C27">
        <v>2009</v>
      </c>
      <c r="D27" s="6">
        <f>DATE(Tabla2[[#This Row],[Año]],1,1)</f>
        <v>39814</v>
      </c>
      <c r="E27">
        <v>1.004</v>
      </c>
      <c r="F27">
        <v>2</v>
      </c>
      <c r="G27" s="8">
        <f>DATE(1,Tabla2[[#This Row],[Mes]],1)</f>
        <v>398</v>
      </c>
      <c r="H27" s="10" t="s">
        <v>9</v>
      </c>
      <c r="I27" s="10" t="s">
        <v>44</v>
      </c>
    </row>
    <row r="28" spans="1:9" x14ac:dyDescent="0.25">
      <c r="A28" s="3">
        <v>39903</v>
      </c>
      <c r="B28">
        <v>0.6</v>
      </c>
      <c r="C28">
        <v>2009</v>
      </c>
      <c r="D28" s="6">
        <f>DATE(Tabla2[[#This Row],[Año]],1,1)</f>
        <v>39814</v>
      </c>
      <c r="E28">
        <v>1.006</v>
      </c>
      <c r="F28">
        <v>3</v>
      </c>
      <c r="G28" s="8">
        <f>DATE(1,Tabla2[[#This Row],[Mes]],1)</f>
        <v>426</v>
      </c>
      <c r="H28" s="10" t="s">
        <v>11</v>
      </c>
      <c r="I28" s="10" t="s">
        <v>45</v>
      </c>
    </row>
    <row r="29" spans="1:9" x14ac:dyDescent="0.25">
      <c r="A29" s="3">
        <v>39933</v>
      </c>
      <c r="B29">
        <v>0.3</v>
      </c>
      <c r="C29">
        <v>2009</v>
      </c>
      <c r="D29" s="6">
        <f>DATE(Tabla2[[#This Row],[Año]],1,1)</f>
        <v>39814</v>
      </c>
      <c r="E29">
        <v>1.0029999999999999</v>
      </c>
      <c r="F29">
        <v>4</v>
      </c>
      <c r="G29" s="8">
        <f>DATE(1,Tabla2[[#This Row],[Mes]],1)</f>
        <v>457</v>
      </c>
      <c r="H29" s="10" t="s">
        <v>13</v>
      </c>
      <c r="I29" s="10" t="s">
        <v>46</v>
      </c>
    </row>
    <row r="30" spans="1:9" x14ac:dyDescent="0.25">
      <c r="A30" s="3">
        <v>39964</v>
      </c>
      <c r="B30">
        <v>0.3</v>
      </c>
      <c r="C30">
        <v>2009</v>
      </c>
      <c r="D30" s="6">
        <f>DATE(Tabla2[[#This Row],[Año]],1,1)</f>
        <v>39814</v>
      </c>
      <c r="E30">
        <v>1.0029999999999999</v>
      </c>
      <c r="F30">
        <v>5</v>
      </c>
      <c r="G30" s="8">
        <f>DATE(1,Tabla2[[#This Row],[Mes]],1)</f>
        <v>487</v>
      </c>
      <c r="H30" s="10" t="s">
        <v>15</v>
      </c>
      <c r="I30" s="10" t="s">
        <v>47</v>
      </c>
    </row>
    <row r="31" spans="1:9" x14ac:dyDescent="0.25">
      <c r="A31" s="3">
        <v>39994</v>
      </c>
      <c r="B31">
        <v>0.4</v>
      </c>
      <c r="C31">
        <v>2009</v>
      </c>
      <c r="D31" s="6">
        <f>DATE(Tabla2[[#This Row],[Año]],1,1)</f>
        <v>39814</v>
      </c>
      <c r="E31">
        <v>1.004</v>
      </c>
      <c r="F31">
        <v>6</v>
      </c>
      <c r="G31" s="8">
        <f>DATE(1,Tabla2[[#This Row],[Mes]],1)</f>
        <v>518</v>
      </c>
      <c r="H31" s="10" t="s">
        <v>17</v>
      </c>
      <c r="I31" s="10" t="s">
        <v>48</v>
      </c>
    </row>
    <row r="32" spans="1:9" x14ac:dyDescent="0.25">
      <c r="A32" s="3">
        <v>40025</v>
      </c>
      <c r="B32">
        <v>0.6</v>
      </c>
      <c r="C32">
        <v>2009</v>
      </c>
      <c r="D32" s="6">
        <f>DATE(Tabla2[[#This Row],[Año]],1,1)</f>
        <v>39814</v>
      </c>
      <c r="E32">
        <v>1.006</v>
      </c>
      <c r="F32">
        <v>7</v>
      </c>
      <c r="G32" s="8">
        <f>DATE(1,Tabla2[[#This Row],[Mes]],1)</f>
        <v>548</v>
      </c>
      <c r="H32" s="10" t="s">
        <v>19</v>
      </c>
      <c r="I32" s="10" t="s">
        <v>49</v>
      </c>
    </row>
    <row r="33" spans="1:9" x14ac:dyDescent="0.25">
      <c r="A33" s="3">
        <v>40056</v>
      </c>
      <c r="B33">
        <v>0.8</v>
      </c>
      <c r="C33">
        <v>2009</v>
      </c>
      <c r="D33" s="6">
        <f>DATE(Tabla2[[#This Row],[Año]],1,1)</f>
        <v>39814</v>
      </c>
      <c r="E33">
        <v>1.008</v>
      </c>
      <c r="F33">
        <v>8</v>
      </c>
      <c r="G33" s="8">
        <f>DATE(1,Tabla2[[#This Row],[Mes]],1)</f>
        <v>579</v>
      </c>
      <c r="H33" s="10" t="s">
        <v>21</v>
      </c>
      <c r="I33" s="10" t="s">
        <v>50</v>
      </c>
    </row>
    <row r="34" spans="1:9" x14ac:dyDescent="0.25">
      <c r="A34" s="3">
        <v>40086</v>
      </c>
      <c r="B34">
        <v>0.7</v>
      </c>
      <c r="C34">
        <v>2009</v>
      </c>
      <c r="D34" s="6">
        <f>DATE(Tabla2[[#This Row],[Año]],1,1)</f>
        <v>39814</v>
      </c>
      <c r="E34">
        <v>1.0069999999999999</v>
      </c>
      <c r="F34">
        <v>9</v>
      </c>
      <c r="G34" s="8">
        <f>DATE(1,Tabla2[[#This Row],[Mes]],1)</f>
        <v>610</v>
      </c>
      <c r="H34" s="10" t="s">
        <v>23</v>
      </c>
      <c r="I34" s="10" t="s">
        <v>51</v>
      </c>
    </row>
    <row r="35" spans="1:9" x14ac:dyDescent="0.25">
      <c r="A35" s="3">
        <v>40117</v>
      </c>
      <c r="B35">
        <v>0.8</v>
      </c>
      <c r="C35">
        <v>2009</v>
      </c>
      <c r="D35" s="6">
        <f>DATE(Tabla2[[#This Row],[Año]],1,1)</f>
        <v>39814</v>
      </c>
      <c r="E35">
        <v>1.008</v>
      </c>
      <c r="F35">
        <v>10</v>
      </c>
      <c r="G35" s="8">
        <f>DATE(1,Tabla2[[#This Row],[Mes]],1)</f>
        <v>640</v>
      </c>
      <c r="H35" s="10" t="s">
        <v>25</v>
      </c>
      <c r="I35" s="10" t="s">
        <v>52</v>
      </c>
    </row>
    <row r="36" spans="1:9" x14ac:dyDescent="0.25">
      <c r="A36" s="3">
        <v>40147</v>
      </c>
      <c r="B36">
        <v>0.8</v>
      </c>
      <c r="C36">
        <v>2009</v>
      </c>
      <c r="D36" s="6">
        <f>DATE(Tabla2[[#This Row],[Año]],1,1)</f>
        <v>39814</v>
      </c>
      <c r="E36">
        <v>1.008</v>
      </c>
      <c r="F36">
        <v>11</v>
      </c>
      <c r="G36" s="8">
        <f>DATE(1,Tabla2[[#This Row],[Mes]],1)</f>
        <v>671</v>
      </c>
      <c r="H36" s="10" t="s">
        <v>27</v>
      </c>
      <c r="I36" s="10" t="s">
        <v>53</v>
      </c>
    </row>
    <row r="37" spans="1:9" x14ac:dyDescent="0.25">
      <c r="A37" s="3">
        <v>40178</v>
      </c>
      <c r="B37">
        <v>0.9</v>
      </c>
      <c r="C37">
        <v>2009</v>
      </c>
      <c r="D37" s="6">
        <f>DATE(Tabla2[[#This Row],[Año]],1,1)</f>
        <v>39814</v>
      </c>
      <c r="E37">
        <v>1.0089999999999999</v>
      </c>
      <c r="F37">
        <v>12</v>
      </c>
      <c r="G37" s="8">
        <f>DATE(1,Tabla2[[#This Row],[Mes]],1)</f>
        <v>701</v>
      </c>
      <c r="H37" s="10" t="s">
        <v>29</v>
      </c>
      <c r="I37" s="10" t="s">
        <v>54</v>
      </c>
    </row>
    <row r="38" spans="1:9" x14ac:dyDescent="0.25">
      <c r="A38" s="3">
        <v>40209</v>
      </c>
      <c r="B38">
        <v>1</v>
      </c>
      <c r="C38">
        <v>2010</v>
      </c>
      <c r="D38" s="6">
        <f>DATE(Tabla2[[#This Row],[Año]],1,1)</f>
        <v>40179</v>
      </c>
      <c r="E38">
        <v>1.01</v>
      </c>
      <c r="F38">
        <v>1</v>
      </c>
      <c r="G38" s="8">
        <f>DATE(1,Tabla2[[#This Row],[Mes]],1)</f>
        <v>367</v>
      </c>
      <c r="H38" s="10" t="s">
        <v>7</v>
      </c>
      <c r="I38" s="10" t="s">
        <v>55</v>
      </c>
    </row>
    <row r="39" spans="1:9" x14ac:dyDescent="0.25">
      <c r="A39" s="3">
        <v>40237</v>
      </c>
      <c r="B39">
        <v>1.2</v>
      </c>
      <c r="C39">
        <v>2010</v>
      </c>
      <c r="D39" s="6">
        <f>DATE(Tabla2[[#This Row],[Año]],1,1)</f>
        <v>40179</v>
      </c>
      <c r="E39">
        <v>1.012</v>
      </c>
      <c r="F39">
        <v>2</v>
      </c>
      <c r="G39" s="8">
        <f>DATE(1,Tabla2[[#This Row],[Mes]],1)</f>
        <v>398</v>
      </c>
      <c r="H39" s="10" t="s">
        <v>9</v>
      </c>
      <c r="I39" s="10" t="s">
        <v>56</v>
      </c>
    </row>
    <row r="40" spans="1:9" x14ac:dyDescent="0.25">
      <c r="A40" s="3">
        <v>40268</v>
      </c>
      <c r="B40">
        <v>1.1000000000000001</v>
      </c>
      <c r="C40">
        <v>2010</v>
      </c>
      <c r="D40" s="6">
        <f>DATE(Tabla2[[#This Row],[Año]],1,1)</f>
        <v>40179</v>
      </c>
      <c r="E40">
        <v>1.0109999999999999</v>
      </c>
      <c r="F40">
        <v>3</v>
      </c>
      <c r="G40" s="8">
        <f>DATE(1,Tabla2[[#This Row],[Mes]],1)</f>
        <v>426</v>
      </c>
      <c r="H40" s="10" t="s">
        <v>11</v>
      </c>
      <c r="I40" s="10" t="s">
        <v>57</v>
      </c>
    </row>
    <row r="41" spans="1:9" x14ac:dyDescent="0.25">
      <c r="A41" s="3">
        <v>40298</v>
      </c>
      <c r="B41">
        <v>0.8</v>
      </c>
      <c r="C41">
        <v>2010</v>
      </c>
      <c r="D41" s="6">
        <f>DATE(Tabla2[[#This Row],[Año]],1,1)</f>
        <v>40179</v>
      </c>
      <c r="E41">
        <v>1.008</v>
      </c>
      <c r="F41">
        <v>4</v>
      </c>
      <c r="G41" s="8">
        <f>DATE(1,Tabla2[[#This Row],[Mes]],1)</f>
        <v>457</v>
      </c>
      <c r="H41" s="10" t="s">
        <v>13</v>
      </c>
      <c r="I41" s="10" t="s">
        <v>58</v>
      </c>
    </row>
    <row r="42" spans="1:9" x14ac:dyDescent="0.25">
      <c r="A42" s="3">
        <v>40329</v>
      </c>
      <c r="B42">
        <v>0.7</v>
      </c>
      <c r="C42">
        <v>2010</v>
      </c>
      <c r="D42" s="6">
        <f>DATE(Tabla2[[#This Row],[Año]],1,1)</f>
        <v>40179</v>
      </c>
      <c r="E42">
        <v>1.0069999999999999</v>
      </c>
      <c r="F42">
        <v>5</v>
      </c>
      <c r="G42" s="8">
        <f>DATE(1,Tabla2[[#This Row],[Mes]],1)</f>
        <v>487</v>
      </c>
      <c r="H42" s="10" t="s">
        <v>15</v>
      </c>
      <c r="I42" s="10" t="s">
        <v>59</v>
      </c>
    </row>
    <row r="43" spans="1:9" x14ac:dyDescent="0.25">
      <c r="A43" s="3">
        <v>40359</v>
      </c>
      <c r="B43">
        <v>0.7</v>
      </c>
      <c r="C43">
        <v>2010</v>
      </c>
      <c r="D43" s="6">
        <f>DATE(Tabla2[[#This Row],[Año]],1,1)</f>
        <v>40179</v>
      </c>
      <c r="E43">
        <v>1.0069999999999999</v>
      </c>
      <c r="F43">
        <v>6</v>
      </c>
      <c r="G43" s="8">
        <f>DATE(1,Tabla2[[#This Row],[Mes]],1)</f>
        <v>518</v>
      </c>
      <c r="H43" s="10" t="s">
        <v>17</v>
      </c>
      <c r="I43" s="10" t="s">
        <v>60</v>
      </c>
    </row>
    <row r="44" spans="1:9" x14ac:dyDescent="0.25">
      <c r="A44" s="3">
        <v>40390</v>
      </c>
      <c r="B44">
        <v>0.8</v>
      </c>
      <c r="C44">
        <v>2010</v>
      </c>
      <c r="D44" s="6">
        <f>DATE(Tabla2[[#This Row],[Año]],1,1)</f>
        <v>40179</v>
      </c>
      <c r="E44">
        <v>1.008</v>
      </c>
      <c r="F44">
        <v>7</v>
      </c>
      <c r="G44" s="8">
        <f>DATE(1,Tabla2[[#This Row],[Mes]],1)</f>
        <v>548</v>
      </c>
      <c r="H44" s="10" t="s">
        <v>19</v>
      </c>
      <c r="I44" s="10" t="s">
        <v>61</v>
      </c>
    </row>
    <row r="45" spans="1:9" x14ac:dyDescent="0.25">
      <c r="A45" s="3">
        <v>40421</v>
      </c>
      <c r="B45">
        <v>0.7</v>
      </c>
      <c r="C45">
        <v>2010</v>
      </c>
      <c r="D45" s="6">
        <f>DATE(Tabla2[[#This Row],[Año]],1,1)</f>
        <v>40179</v>
      </c>
      <c r="E45">
        <v>1.0069999999999999</v>
      </c>
      <c r="F45">
        <v>8</v>
      </c>
      <c r="G45" s="8">
        <f>DATE(1,Tabla2[[#This Row],[Mes]],1)</f>
        <v>579</v>
      </c>
      <c r="H45" s="10" t="s">
        <v>21</v>
      </c>
      <c r="I45" s="10" t="s">
        <v>62</v>
      </c>
    </row>
    <row r="46" spans="1:9" x14ac:dyDescent="0.25">
      <c r="A46" s="3">
        <v>40451</v>
      </c>
      <c r="B46">
        <v>0.7</v>
      </c>
      <c r="C46">
        <v>2010</v>
      </c>
      <c r="D46" s="6">
        <f>DATE(Tabla2[[#This Row],[Año]],1,1)</f>
        <v>40179</v>
      </c>
      <c r="E46">
        <v>1.0069999999999999</v>
      </c>
      <c r="F46">
        <v>9</v>
      </c>
      <c r="G46" s="8">
        <f>DATE(1,Tabla2[[#This Row],[Mes]],1)</f>
        <v>610</v>
      </c>
      <c r="H46" s="10" t="s">
        <v>23</v>
      </c>
      <c r="I46" s="10" t="s">
        <v>63</v>
      </c>
    </row>
    <row r="47" spans="1:9" x14ac:dyDescent="0.25">
      <c r="A47" s="3">
        <v>40482</v>
      </c>
      <c r="B47">
        <v>0.8</v>
      </c>
      <c r="C47">
        <v>2010</v>
      </c>
      <c r="D47" s="6">
        <f>DATE(Tabla2[[#This Row],[Año]],1,1)</f>
        <v>40179</v>
      </c>
      <c r="E47">
        <v>1.008</v>
      </c>
      <c r="F47">
        <v>10</v>
      </c>
      <c r="G47" s="8">
        <f>DATE(1,Tabla2[[#This Row],[Mes]],1)</f>
        <v>640</v>
      </c>
      <c r="H47" s="10" t="s">
        <v>25</v>
      </c>
      <c r="I47" s="10" t="s">
        <v>64</v>
      </c>
    </row>
    <row r="48" spans="1:9" x14ac:dyDescent="0.25">
      <c r="A48" s="3">
        <v>40512</v>
      </c>
      <c r="B48">
        <v>0.7</v>
      </c>
      <c r="C48">
        <v>2010</v>
      </c>
      <c r="D48" s="6">
        <f>DATE(Tabla2[[#This Row],[Año]],1,1)</f>
        <v>40179</v>
      </c>
      <c r="E48">
        <v>1.0069999999999999</v>
      </c>
      <c r="F48">
        <v>11</v>
      </c>
      <c r="G48" s="8">
        <f>DATE(1,Tabla2[[#This Row],[Mes]],1)</f>
        <v>671</v>
      </c>
      <c r="H48" s="10" t="s">
        <v>27</v>
      </c>
      <c r="I48" s="10" t="s">
        <v>65</v>
      </c>
    </row>
    <row r="49" spans="1:9" x14ac:dyDescent="0.25">
      <c r="A49" s="3">
        <v>40543</v>
      </c>
      <c r="B49">
        <v>0.8</v>
      </c>
      <c r="C49">
        <v>2010</v>
      </c>
      <c r="D49" s="6">
        <f>DATE(Tabla2[[#This Row],[Año]],1,1)</f>
        <v>40179</v>
      </c>
      <c r="E49">
        <v>1.008</v>
      </c>
      <c r="F49">
        <v>12</v>
      </c>
      <c r="G49" s="8">
        <f>DATE(1,Tabla2[[#This Row],[Mes]],1)</f>
        <v>701</v>
      </c>
      <c r="H49" s="10" t="s">
        <v>29</v>
      </c>
      <c r="I49" s="10" t="s">
        <v>66</v>
      </c>
    </row>
    <row r="50" spans="1:9" x14ac:dyDescent="0.25">
      <c r="A50" s="3">
        <v>40574</v>
      </c>
      <c r="B50">
        <v>0.7</v>
      </c>
      <c r="C50">
        <v>2011</v>
      </c>
      <c r="D50" s="6">
        <f>DATE(Tabla2[[#This Row],[Año]],1,1)</f>
        <v>40544</v>
      </c>
      <c r="E50">
        <v>1.0069999999999999</v>
      </c>
      <c r="F50">
        <v>1</v>
      </c>
      <c r="G50" s="8">
        <f>DATE(1,Tabla2[[#This Row],[Mes]],1)</f>
        <v>367</v>
      </c>
      <c r="H50" s="10" t="s">
        <v>7</v>
      </c>
      <c r="I50" s="10" t="s">
        <v>67</v>
      </c>
    </row>
    <row r="51" spans="1:9" x14ac:dyDescent="0.25">
      <c r="A51" s="3">
        <v>40602</v>
      </c>
      <c r="B51">
        <v>0.7</v>
      </c>
      <c r="C51">
        <v>2011</v>
      </c>
      <c r="D51" s="6">
        <f>DATE(Tabla2[[#This Row],[Año]],1,1)</f>
        <v>40544</v>
      </c>
      <c r="E51">
        <v>1.0069999999999999</v>
      </c>
      <c r="F51">
        <v>2</v>
      </c>
      <c r="G51" s="8">
        <f>DATE(1,Tabla2[[#This Row],[Mes]],1)</f>
        <v>398</v>
      </c>
      <c r="H51" s="10" t="s">
        <v>9</v>
      </c>
      <c r="I51" s="10" t="s">
        <v>68</v>
      </c>
    </row>
    <row r="52" spans="1:9" x14ac:dyDescent="0.25">
      <c r="A52" s="3">
        <v>40633</v>
      </c>
      <c r="B52">
        <v>0.8</v>
      </c>
      <c r="C52">
        <v>2011</v>
      </c>
      <c r="D52" s="6">
        <f>DATE(Tabla2[[#This Row],[Año]],1,1)</f>
        <v>40544</v>
      </c>
      <c r="E52">
        <v>1.008</v>
      </c>
      <c r="F52">
        <v>3</v>
      </c>
      <c r="G52" s="8">
        <f>DATE(1,Tabla2[[#This Row],[Mes]],1)</f>
        <v>426</v>
      </c>
      <c r="H52" s="10" t="s">
        <v>11</v>
      </c>
      <c r="I52" s="10" t="s">
        <v>69</v>
      </c>
    </row>
    <row r="53" spans="1:9" x14ac:dyDescent="0.25">
      <c r="A53" s="3">
        <v>40663</v>
      </c>
      <c r="B53">
        <v>0.8</v>
      </c>
      <c r="C53">
        <v>2011</v>
      </c>
      <c r="D53" s="6">
        <f>DATE(Tabla2[[#This Row],[Año]],1,1)</f>
        <v>40544</v>
      </c>
      <c r="E53">
        <v>1.008</v>
      </c>
      <c r="F53">
        <v>4</v>
      </c>
      <c r="G53" s="8">
        <f>DATE(1,Tabla2[[#This Row],[Mes]],1)</f>
        <v>457</v>
      </c>
      <c r="H53" s="10" t="s">
        <v>13</v>
      </c>
      <c r="I53" s="10" t="s">
        <v>70</v>
      </c>
    </row>
    <row r="54" spans="1:9" x14ac:dyDescent="0.25">
      <c r="A54" s="3">
        <v>40694</v>
      </c>
      <c r="B54">
        <v>0.7</v>
      </c>
      <c r="C54">
        <v>2011</v>
      </c>
      <c r="D54" s="6">
        <f>DATE(Tabla2[[#This Row],[Año]],1,1)</f>
        <v>40544</v>
      </c>
      <c r="E54">
        <v>1.0069999999999999</v>
      </c>
      <c r="F54">
        <v>5</v>
      </c>
      <c r="G54" s="8">
        <f>DATE(1,Tabla2[[#This Row],[Mes]],1)</f>
        <v>487</v>
      </c>
      <c r="H54" s="10" t="s">
        <v>15</v>
      </c>
      <c r="I54" s="10" t="s">
        <v>71</v>
      </c>
    </row>
    <row r="55" spans="1:9" x14ac:dyDescent="0.25">
      <c r="A55" s="3">
        <v>40724</v>
      </c>
      <c r="B55">
        <v>0.7</v>
      </c>
      <c r="C55">
        <v>2011</v>
      </c>
      <c r="D55" s="6">
        <f>DATE(Tabla2[[#This Row],[Año]],1,1)</f>
        <v>40544</v>
      </c>
      <c r="E55">
        <v>1.0069999999999999</v>
      </c>
      <c r="F55">
        <v>6</v>
      </c>
      <c r="G55" s="8">
        <f>DATE(1,Tabla2[[#This Row],[Mes]],1)</f>
        <v>518</v>
      </c>
      <c r="H55" s="10" t="s">
        <v>17</v>
      </c>
      <c r="I55" s="10" t="s">
        <v>72</v>
      </c>
    </row>
    <row r="56" spans="1:9" x14ac:dyDescent="0.25">
      <c r="A56" s="3">
        <v>40755</v>
      </c>
      <c r="B56">
        <v>0.8</v>
      </c>
      <c r="C56">
        <v>2011</v>
      </c>
      <c r="D56" s="6">
        <f>DATE(Tabla2[[#This Row],[Año]],1,1)</f>
        <v>40544</v>
      </c>
      <c r="E56">
        <v>1.008</v>
      </c>
      <c r="F56">
        <v>7</v>
      </c>
      <c r="G56" s="8">
        <f>DATE(1,Tabla2[[#This Row],[Mes]],1)</f>
        <v>548</v>
      </c>
      <c r="H56" s="10" t="s">
        <v>19</v>
      </c>
      <c r="I56" s="10" t="s">
        <v>73</v>
      </c>
    </row>
    <row r="57" spans="1:9" x14ac:dyDescent="0.25">
      <c r="A57" s="3">
        <v>40786</v>
      </c>
      <c r="B57">
        <v>0.8</v>
      </c>
      <c r="C57">
        <v>2011</v>
      </c>
      <c r="D57" s="6">
        <f>DATE(Tabla2[[#This Row],[Año]],1,1)</f>
        <v>40544</v>
      </c>
      <c r="E57">
        <v>1.008</v>
      </c>
      <c r="F57">
        <v>8</v>
      </c>
      <c r="G57" s="8">
        <f>DATE(1,Tabla2[[#This Row],[Mes]],1)</f>
        <v>579</v>
      </c>
      <c r="H57" s="10" t="s">
        <v>21</v>
      </c>
      <c r="I57" s="10" t="s">
        <v>74</v>
      </c>
    </row>
    <row r="58" spans="1:9" x14ac:dyDescent="0.25">
      <c r="A58" s="3">
        <v>40816</v>
      </c>
      <c r="B58">
        <v>0.8</v>
      </c>
      <c r="C58">
        <v>2011</v>
      </c>
      <c r="D58" s="6">
        <f>DATE(Tabla2[[#This Row],[Año]],1,1)</f>
        <v>40544</v>
      </c>
      <c r="E58">
        <v>1.008</v>
      </c>
      <c r="F58">
        <v>9</v>
      </c>
      <c r="G58" s="8">
        <f>DATE(1,Tabla2[[#This Row],[Mes]],1)</f>
        <v>610</v>
      </c>
      <c r="H58" s="10" t="s">
        <v>23</v>
      </c>
      <c r="I58" s="10" t="s">
        <v>75</v>
      </c>
    </row>
    <row r="59" spans="1:9" x14ac:dyDescent="0.25">
      <c r="A59" s="3">
        <v>40847</v>
      </c>
      <c r="B59">
        <v>0.6</v>
      </c>
      <c r="C59">
        <v>2011</v>
      </c>
      <c r="D59" s="6">
        <f>DATE(Tabla2[[#This Row],[Año]],1,1)</f>
        <v>40544</v>
      </c>
      <c r="E59">
        <v>1.006</v>
      </c>
      <c r="F59">
        <v>10</v>
      </c>
      <c r="G59" s="8">
        <f>DATE(1,Tabla2[[#This Row],[Mes]],1)</f>
        <v>640</v>
      </c>
      <c r="H59" s="10" t="s">
        <v>25</v>
      </c>
      <c r="I59" s="10" t="s">
        <v>76</v>
      </c>
    </row>
    <row r="60" spans="1:9" x14ac:dyDescent="0.25">
      <c r="A60" s="3">
        <v>40877</v>
      </c>
      <c r="B60">
        <v>0.6</v>
      </c>
      <c r="C60">
        <v>2011</v>
      </c>
      <c r="D60" s="6">
        <f>DATE(Tabla2[[#This Row],[Año]],1,1)</f>
        <v>40544</v>
      </c>
      <c r="E60">
        <v>1.006</v>
      </c>
      <c r="F60">
        <v>11</v>
      </c>
      <c r="G60" s="8">
        <f>DATE(1,Tabla2[[#This Row],[Mes]],1)</f>
        <v>671</v>
      </c>
      <c r="H60" s="10" t="s">
        <v>27</v>
      </c>
      <c r="I60" s="10" t="s">
        <v>77</v>
      </c>
    </row>
    <row r="61" spans="1:9" x14ac:dyDescent="0.25">
      <c r="A61" s="3">
        <v>40908</v>
      </c>
      <c r="B61">
        <v>0.8</v>
      </c>
      <c r="C61">
        <v>2011</v>
      </c>
      <c r="D61" s="6">
        <f>DATE(Tabla2[[#This Row],[Año]],1,1)</f>
        <v>40544</v>
      </c>
      <c r="E61">
        <v>1.008</v>
      </c>
      <c r="F61">
        <v>12</v>
      </c>
      <c r="G61" s="8">
        <f>DATE(1,Tabla2[[#This Row],[Mes]],1)</f>
        <v>701</v>
      </c>
      <c r="H61" s="10" t="s">
        <v>29</v>
      </c>
      <c r="I61" s="10" t="s">
        <v>78</v>
      </c>
    </row>
    <row r="62" spans="1:9" x14ac:dyDescent="0.25">
      <c r="A62" s="3">
        <v>40939</v>
      </c>
      <c r="B62">
        <v>0.9</v>
      </c>
      <c r="C62">
        <v>2012</v>
      </c>
      <c r="D62" s="6">
        <f>DATE(Tabla2[[#This Row],[Año]],1,1)</f>
        <v>40909</v>
      </c>
      <c r="E62">
        <v>1.0089999999999999</v>
      </c>
      <c r="F62">
        <v>1</v>
      </c>
      <c r="G62" s="8">
        <f>DATE(1,Tabla2[[#This Row],[Mes]],1)</f>
        <v>367</v>
      </c>
      <c r="H62" s="10" t="s">
        <v>7</v>
      </c>
      <c r="I62" s="10" t="s">
        <v>79</v>
      </c>
    </row>
    <row r="63" spans="1:9" x14ac:dyDescent="0.25">
      <c r="A63" s="3">
        <v>40968</v>
      </c>
      <c r="B63">
        <v>0.7</v>
      </c>
      <c r="C63">
        <v>2012</v>
      </c>
      <c r="D63" s="6">
        <f>DATE(Tabla2[[#This Row],[Año]],1,1)</f>
        <v>40909</v>
      </c>
      <c r="E63">
        <v>1.0069999999999999</v>
      </c>
      <c r="F63">
        <v>2</v>
      </c>
      <c r="G63" s="8">
        <f>DATE(1,Tabla2[[#This Row],[Mes]],1)</f>
        <v>398</v>
      </c>
      <c r="H63" s="10" t="s">
        <v>9</v>
      </c>
      <c r="I63" s="10" t="s">
        <v>80</v>
      </c>
    </row>
    <row r="64" spans="1:9" x14ac:dyDescent="0.25">
      <c r="A64" s="3">
        <v>40999</v>
      </c>
      <c r="B64">
        <v>0.9</v>
      </c>
      <c r="C64">
        <v>2012</v>
      </c>
      <c r="D64" s="6">
        <f>DATE(Tabla2[[#This Row],[Año]],1,1)</f>
        <v>40909</v>
      </c>
      <c r="E64">
        <v>1.0089999999999999</v>
      </c>
      <c r="F64">
        <v>3</v>
      </c>
      <c r="G64" s="8">
        <f>DATE(1,Tabla2[[#This Row],[Mes]],1)</f>
        <v>426</v>
      </c>
      <c r="H64" s="10" t="s">
        <v>11</v>
      </c>
      <c r="I64" s="10" t="s">
        <v>81</v>
      </c>
    </row>
    <row r="65" spans="1:9" x14ac:dyDescent="0.25">
      <c r="A65" s="3">
        <v>41029</v>
      </c>
      <c r="B65">
        <v>0.8</v>
      </c>
      <c r="C65">
        <v>2012</v>
      </c>
      <c r="D65" s="6">
        <f>DATE(Tabla2[[#This Row],[Año]],1,1)</f>
        <v>40909</v>
      </c>
      <c r="E65">
        <v>1.008</v>
      </c>
      <c r="F65">
        <v>4</v>
      </c>
      <c r="G65" s="8">
        <f>DATE(1,Tabla2[[#This Row],[Mes]],1)</f>
        <v>457</v>
      </c>
      <c r="H65" s="10" t="s">
        <v>13</v>
      </c>
      <c r="I65" s="10" t="s">
        <v>82</v>
      </c>
    </row>
    <row r="66" spans="1:9" x14ac:dyDescent="0.25">
      <c r="A66" s="3">
        <v>41060</v>
      </c>
      <c r="B66">
        <v>0.8</v>
      </c>
      <c r="C66">
        <v>2012</v>
      </c>
      <c r="D66" s="6">
        <f>DATE(Tabla2[[#This Row],[Año]],1,1)</f>
        <v>40909</v>
      </c>
      <c r="E66">
        <v>1.008</v>
      </c>
      <c r="F66">
        <v>5</v>
      </c>
      <c r="G66" s="8">
        <f>DATE(1,Tabla2[[#This Row],[Mes]],1)</f>
        <v>487</v>
      </c>
      <c r="H66" s="10" t="s">
        <v>15</v>
      </c>
      <c r="I66" s="10" t="s">
        <v>83</v>
      </c>
    </row>
    <row r="67" spans="1:9" x14ac:dyDescent="0.25">
      <c r="A67" s="3">
        <v>41090</v>
      </c>
      <c r="B67">
        <v>0.7</v>
      </c>
      <c r="C67">
        <v>2012</v>
      </c>
      <c r="D67" s="6">
        <f>DATE(Tabla2[[#This Row],[Año]],1,1)</f>
        <v>40909</v>
      </c>
      <c r="E67">
        <v>1.0069999999999999</v>
      </c>
      <c r="F67">
        <v>6</v>
      </c>
      <c r="G67" s="8">
        <f>DATE(1,Tabla2[[#This Row],[Mes]],1)</f>
        <v>518</v>
      </c>
      <c r="H67" s="10" t="s">
        <v>17</v>
      </c>
      <c r="I67" s="10" t="s">
        <v>84</v>
      </c>
    </row>
    <row r="68" spans="1:9" x14ac:dyDescent="0.25">
      <c r="A68" s="3">
        <v>41121</v>
      </c>
      <c r="B68">
        <v>0.8</v>
      </c>
      <c r="C68">
        <v>2012</v>
      </c>
      <c r="D68" s="6">
        <f>DATE(Tabla2[[#This Row],[Año]],1,1)</f>
        <v>40909</v>
      </c>
      <c r="E68">
        <v>1.008</v>
      </c>
      <c r="F68">
        <v>7</v>
      </c>
      <c r="G68" s="8">
        <f>DATE(1,Tabla2[[#This Row],[Mes]],1)</f>
        <v>548</v>
      </c>
      <c r="H68" s="10" t="s">
        <v>19</v>
      </c>
      <c r="I68" s="10" t="s">
        <v>85</v>
      </c>
    </row>
    <row r="69" spans="1:9" x14ac:dyDescent="0.25">
      <c r="A69" s="3">
        <v>41152</v>
      </c>
      <c r="B69">
        <v>0.9</v>
      </c>
      <c r="C69">
        <v>2012</v>
      </c>
      <c r="D69" s="6">
        <f>DATE(Tabla2[[#This Row],[Año]],1,1)</f>
        <v>40909</v>
      </c>
      <c r="E69">
        <v>1.0089999999999999</v>
      </c>
      <c r="F69">
        <v>8</v>
      </c>
      <c r="G69" s="8">
        <f>DATE(1,Tabla2[[#This Row],[Mes]],1)</f>
        <v>579</v>
      </c>
      <c r="H69" s="10" t="s">
        <v>21</v>
      </c>
      <c r="I69" s="10" t="s">
        <v>86</v>
      </c>
    </row>
    <row r="70" spans="1:9" x14ac:dyDescent="0.25">
      <c r="A70" s="3">
        <v>41182</v>
      </c>
      <c r="B70">
        <v>0.9</v>
      </c>
      <c r="C70">
        <v>2012</v>
      </c>
      <c r="D70" s="6">
        <f>DATE(Tabla2[[#This Row],[Año]],1,1)</f>
        <v>40909</v>
      </c>
      <c r="E70">
        <v>1.0089999999999999</v>
      </c>
      <c r="F70">
        <v>9</v>
      </c>
      <c r="G70" s="8">
        <f>DATE(1,Tabla2[[#This Row],[Mes]],1)</f>
        <v>610</v>
      </c>
      <c r="H70" s="10" t="s">
        <v>23</v>
      </c>
      <c r="I70" s="10" t="s">
        <v>87</v>
      </c>
    </row>
    <row r="71" spans="1:9" x14ac:dyDescent="0.25">
      <c r="A71" s="3">
        <v>41213</v>
      </c>
      <c r="B71">
        <v>0.8</v>
      </c>
      <c r="C71">
        <v>2012</v>
      </c>
      <c r="D71" s="6">
        <f>DATE(Tabla2[[#This Row],[Año]],1,1)</f>
        <v>40909</v>
      </c>
      <c r="E71">
        <v>1.008</v>
      </c>
      <c r="F71">
        <v>10</v>
      </c>
      <c r="G71" s="8">
        <f>DATE(1,Tabla2[[#This Row],[Mes]],1)</f>
        <v>640</v>
      </c>
      <c r="H71" s="10" t="s">
        <v>25</v>
      </c>
      <c r="I71" s="10" t="s">
        <v>88</v>
      </c>
    </row>
    <row r="72" spans="1:9" x14ac:dyDescent="0.25">
      <c r="A72" s="3">
        <v>41243</v>
      </c>
      <c r="B72">
        <v>0.9</v>
      </c>
      <c r="C72">
        <v>2012</v>
      </c>
      <c r="D72" s="6">
        <f>DATE(Tabla2[[#This Row],[Año]],1,1)</f>
        <v>40909</v>
      </c>
      <c r="E72">
        <v>1.0089999999999999</v>
      </c>
      <c r="F72">
        <v>11</v>
      </c>
      <c r="G72" s="8">
        <f>DATE(1,Tabla2[[#This Row],[Mes]],1)</f>
        <v>671</v>
      </c>
      <c r="H72" s="10" t="s">
        <v>27</v>
      </c>
      <c r="I72" s="10" t="s">
        <v>89</v>
      </c>
    </row>
    <row r="73" spans="1:9" x14ac:dyDescent="0.25">
      <c r="A73" s="3">
        <v>41274</v>
      </c>
      <c r="B73">
        <v>1</v>
      </c>
      <c r="C73">
        <v>2012</v>
      </c>
      <c r="D73" s="6">
        <f>DATE(Tabla2[[#This Row],[Año]],1,1)</f>
        <v>40909</v>
      </c>
      <c r="E73">
        <v>1.01</v>
      </c>
      <c r="F73">
        <v>12</v>
      </c>
      <c r="G73" s="8">
        <f>DATE(1,Tabla2[[#This Row],[Mes]],1)</f>
        <v>701</v>
      </c>
      <c r="H73" s="10" t="s">
        <v>29</v>
      </c>
      <c r="I73" s="10" t="s">
        <v>90</v>
      </c>
    </row>
    <row r="74" spans="1:9" x14ac:dyDescent="0.25">
      <c r="A74" s="3">
        <v>41305</v>
      </c>
      <c r="B74">
        <v>1.1000000000000001</v>
      </c>
      <c r="C74">
        <v>2013</v>
      </c>
      <c r="D74" s="6">
        <f>DATE(Tabla2[[#This Row],[Año]],1,1)</f>
        <v>41275</v>
      </c>
      <c r="E74">
        <v>1.0109999999999999</v>
      </c>
      <c r="F74">
        <v>1</v>
      </c>
      <c r="G74" s="8">
        <f>DATE(1,Tabla2[[#This Row],[Mes]],1)</f>
        <v>367</v>
      </c>
      <c r="H74" s="10" t="s">
        <v>7</v>
      </c>
      <c r="I74" s="10" t="s">
        <v>91</v>
      </c>
    </row>
    <row r="75" spans="1:9" x14ac:dyDescent="0.25">
      <c r="A75" s="3">
        <v>41333</v>
      </c>
      <c r="B75">
        <v>0.5</v>
      </c>
      <c r="C75">
        <v>2013</v>
      </c>
      <c r="D75" s="6">
        <f>DATE(Tabla2[[#This Row],[Año]],1,1)</f>
        <v>41275</v>
      </c>
      <c r="E75">
        <v>1.0049999999999999</v>
      </c>
      <c r="F75">
        <v>2</v>
      </c>
      <c r="G75" s="8">
        <f>DATE(1,Tabla2[[#This Row],[Mes]],1)</f>
        <v>398</v>
      </c>
      <c r="H75" s="10" t="s">
        <v>9</v>
      </c>
      <c r="I75" s="10" t="s">
        <v>92</v>
      </c>
    </row>
    <row r="76" spans="1:9" x14ac:dyDescent="0.25">
      <c r="A76" s="3">
        <v>41364</v>
      </c>
      <c r="B76">
        <v>0.7</v>
      </c>
      <c r="C76">
        <v>2013</v>
      </c>
      <c r="D76" s="6">
        <f>DATE(Tabla2[[#This Row],[Año]],1,1)</f>
        <v>41275</v>
      </c>
      <c r="E76">
        <v>1.0069999999999999</v>
      </c>
      <c r="F76">
        <v>3</v>
      </c>
      <c r="G76" s="8">
        <f>DATE(1,Tabla2[[#This Row],[Mes]],1)</f>
        <v>426</v>
      </c>
      <c r="H76" s="10" t="s">
        <v>11</v>
      </c>
      <c r="I76" s="10" t="s">
        <v>93</v>
      </c>
    </row>
    <row r="77" spans="1:9" x14ac:dyDescent="0.25">
      <c r="A77" s="3">
        <v>41394</v>
      </c>
      <c r="B77">
        <v>0.7</v>
      </c>
      <c r="C77">
        <v>2013</v>
      </c>
      <c r="D77" s="6">
        <f>DATE(Tabla2[[#This Row],[Año]],1,1)</f>
        <v>41275</v>
      </c>
      <c r="E77">
        <v>1.0069999999999999</v>
      </c>
      <c r="F77">
        <v>4</v>
      </c>
      <c r="G77" s="8">
        <f>DATE(1,Tabla2[[#This Row],[Mes]],1)</f>
        <v>457</v>
      </c>
      <c r="H77" s="10" t="s">
        <v>13</v>
      </c>
      <c r="I77" s="10" t="s">
        <v>94</v>
      </c>
    </row>
    <row r="78" spans="1:9" x14ac:dyDescent="0.25">
      <c r="A78" s="3">
        <v>41425</v>
      </c>
      <c r="B78">
        <v>0.7</v>
      </c>
      <c r="C78">
        <v>2013</v>
      </c>
      <c r="D78" s="6">
        <f>DATE(Tabla2[[#This Row],[Año]],1,1)</f>
        <v>41275</v>
      </c>
      <c r="E78">
        <v>1.0069999999999999</v>
      </c>
      <c r="F78">
        <v>5</v>
      </c>
      <c r="G78" s="8">
        <f>DATE(1,Tabla2[[#This Row],[Mes]],1)</f>
        <v>487</v>
      </c>
      <c r="H78" s="10" t="s">
        <v>15</v>
      </c>
      <c r="I78" s="10" t="s">
        <v>95</v>
      </c>
    </row>
    <row r="79" spans="1:9" x14ac:dyDescent="0.25">
      <c r="A79" s="3">
        <v>41455</v>
      </c>
      <c r="B79">
        <v>0.8</v>
      </c>
      <c r="C79">
        <v>2013</v>
      </c>
      <c r="D79" s="6">
        <f>DATE(Tabla2[[#This Row],[Año]],1,1)</f>
        <v>41275</v>
      </c>
      <c r="E79">
        <v>1.008</v>
      </c>
      <c r="F79">
        <v>6</v>
      </c>
      <c r="G79" s="8">
        <f>DATE(1,Tabla2[[#This Row],[Mes]],1)</f>
        <v>518</v>
      </c>
      <c r="H79" s="10" t="s">
        <v>17</v>
      </c>
      <c r="I79" s="10" t="s">
        <v>96</v>
      </c>
    </row>
    <row r="80" spans="1:9" x14ac:dyDescent="0.25">
      <c r="A80" s="3">
        <v>41486</v>
      </c>
      <c r="B80">
        <v>0.9</v>
      </c>
      <c r="C80">
        <v>2013</v>
      </c>
      <c r="D80" s="6">
        <f>DATE(Tabla2[[#This Row],[Año]],1,1)</f>
        <v>41275</v>
      </c>
      <c r="E80">
        <v>1.0089999999999999</v>
      </c>
      <c r="F80">
        <v>7</v>
      </c>
      <c r="G80" s="8">
        <f>DATE(1,Tabla2[[#This Row],[Mes]],1)</f>
        <v>548</v>
      </c>
      <c r="H80" s="10" t="s">
        <v>19</v>
      </c>
      <c r="I80" s="10" t="s">
        <v>97</v>
      </c>
    </row>
    <row r="81" spans="1:9" x14ac:dyDescent="0.25">
      <c r="A81" s="3">
        <v>41517</v>
      </c>
      <c r="B81">
        <v>0.8</v>
      </c>
      <c r="C81">
        <v>2013</v>
      </c>
      <c r="D81" s="6">
        <f>DATE(Tabla2[[#This Row],[Año]],1,1)</f>
        <v>41275</v>
      </c>
      <c r="E81">
        <v>1.008</v>
      </c>
      <c r="F81">
        <v>8</v>
      </c>
      <c r="G81" s="8">
        <f>DATE(1,Tabla2[[#This Row],[Mes]],1)</f>
        <v>579</v>
      </c>
      <c r="H81" s="10" t="s">
        <v>21</v>
      </c>
      <c r="I81" s="10" t="s">
        <v>98</v>
      </c>
    </row>
    <row r="82" spans="1:9" x14ac:dyDescent="0.25">
      <c r="A82" s="3">
        <v>41547</v>
      </c>
      <c r="B82">
        <v>0.8</v>
      </c>
      <c r="C82">
        <v>2013</v>
      </c>
      <c r="D82" s="6">
        <f>DATE(Tabla2[[#This Row],[Año]],1,1)</f>
        <v>41275</v>
      </c>
      <c r="E82">
        <v>1.008</v>
      </c>
      <c r="F82">
        <v>9</v>
      </c>
      <c r="G82" s="8">
        <f>DATE(1,Tabla2[[#This Row],[Mes]],1)</f>
        <v>610</v>
      </c>
      <c r="H82" s="10" t="s">
        <v>23</v>
      </c>
      <c r="I82" s="10" t="s">
        <v>99</v>
      </c>
    </row>
    <row r="83" spans="1:9" x14ac:dyDescent="0.25">
      <c r="A83" s="3">
        <v>41578</v>
      </c>
      <c r="B83">
        <v>0.9</v>
      </c>
      <c r="C83">
        <v>2013</v>
      </c>
      <c r="D83" s="6">
        <f>DATE(Tabla2[[#This Row],[Año]],1,1)</f>
        <v>41275</v>
      </c>
      <c r="E83">
        <v>1.0089999999999999</v>
      </c>
      <c r="F83">
        <v>10</v>
      </c>
      <c r="G83" s="8">
        <f>DATE(1,Tabla2[[#This Row],[Mes]],1)</f>
        <v>640</v>
      </c>
      <c r="H83" s="10" t="s">
        <v>25</v>
      </c>
      <c r="I83" s="10" t="s">
        <v>100</v>
      </c>
    </row>
    <row r="84" spans="1:9" x14ac:dyDescent="0.25">
      <c r="A84" s="3">
        <v>41608</v>
      </c>
      <c r="B84">
        <v>0.9</v>
      </c>
      <c r="C84">
        <v>2013</v>
      </c>
      <c r="D84" s="6">
        <f>DATE(Tabla2[[#This Row],[Año]],1,1)</f>
        <v>41275</v>
      </c>
      <c r="E84">
        <v>1.0089999999999999</v>
      </c>
      <c r="F84">
        <v>11</v>
      </c>
      <c r="G84" s="8">
        <f>DATE(1,Tabla2[[#This Row],[Mes]],1)</f>
        <v>671</v>
      </c>
      <c r="H84" s="10" t="s">
        <v>27</v>
      </c>
      <c r="I84" s="10" t="s">
        <v>101</v>
      </c>
    </row>
    <row r="85" spans="1:9" x14ac:dyDescent="0.25">
      <c r="A85" s="3">
        <v>41639</v>
      </c>
      <c r="B85">
        <v>1.4</v>
      </c>
      <c r="C85">
        <v>2013</v>
      </c>
      <c r="D85" s="6">
        <f>DATE(Tabla2[[#This Row],[Año]],1,1)</f>
        <v>41275</v>
      </c>
      <c r="E85">
        <v>1.014</v>
      </c>
      <c r="F85">
        <v>12</v>
      </c>
      <c r="G85" s="8">
        <f>DATE(1,Tabla2[[#This Row],[Mes]],1)</f>
        <v>701</v>
      </c>
      <c r="H85" s="10" t="s">
        <v>29</v>
      </c>
      <c r="I85" s="10" t="s">
        <v>102</v>
      </c>
    </row>
    <row r="86" spans="1:9" x14ac:dyDescent="0.25">
      <c r="A86" s="3">
        <v>41670</v>
      </c>
      <c r="B86">
        <v>3.6</v>
      </c>
      <c r="C86">
        <v>2014</v>
      </c>
      <c r="D86" s="6">
        <f>DATE(Tabla2[[#This Row],[Año]],1,1)</f>
        <v>41640</v>
      </c>
      <c r="E86">
        <v>1.036</v>
      </c>
      <c r="F86">
        <v>1</v>
      </c>
      <c r="G86" s="8">
        <f>DATE(1,Tabla2[[#This Row],[Mes]],1)</f>
        <v>367</v>
      </c>
      <c r="H86" s="10" t="s">
        <v>7</v>
      </c>
      <c r="I86" s="10" t="s">
        <v>103</v>
      </c>
    </row>
    <row r="87" spans="1:9" x14ac:dyDescent="0.25">
      <c r="A87" s="3">
        <v>41698</v>
      </c>
      <c r="B87">
        <v>3.4</v>
      </c>
      <c r="C87">
        <v>2014</v>
      </c>
      <c r="D87" s="6">
        <f>DATE(Tabla2[[#This Row],[Año]],1,1)</f>
        <v>41640</v>
      </c>
      <c r="E87">
        <v>1.034</v>
      </c>
      <c r="F87">
        <v>2</v>
      </c>
      <c r="G87" s="8">
        <f>DATE(1,Tabla2[[#This Row],[Mes]],1)</f>
        <v>398</v>
      </c>
      <c r="H87" s="10" t="s">
        <v>9</v>
      </c>
      <c r="I87" s="10" t="s">
        <v>104</v>
      </c>
    </row>
    <row r="88" spans="1:9" x14ac:dyDescent="0.25">
      <c r="A88" s="3">
        <v>41729</v>
      </c>
      <c r="B88">
        <v>2.6</v>
      </c>
      <c r="C88">
        <v>2014</v>
      </c>
      <c r="D88" s="6">
        <f>DATE(Tabla2[[#This Row],[Año]],1,1)</f>
        <v>41640</v>
      </c>
      <c r="E88">
        <v>1.026</v>
      </c>
      <c r="F88">
        <v>3</v>
      </c>
      <c r="G88" s="8">
        <f>DATE(1,Tabla2[[#This Row],[Mes]],1)</f>
        <v>426</v>
      </c>
      <c r="H88" s="10" t="s">
        <v>11</v>
      </c>
      <c r="I88" s="10" t="s">
        <v>105</v>
      </c>
    </row>
    <row r="89" spans="1:9" x14ac:dyDescent="0.25">
      <c r="A89" s="3">
        <v>41759</v>
      </c>
      <c r="B89">
        <v>1.8</v>
      </c>
      <c r="C89">
        <v>2014</v>
      </c>
      <c r="D89" s="6">
        <f>DATE(Tabla2[[#This Row],[Año]],1,1)</f>
        <v>41640</v>
      </c>
      <c r="E89">
        <v>1.018</v>
      </c>
      <c r="F89">
        <v>4</v>
      </c>
      <c r="G89" s="8">
        <f>DATE(1,Tabla2[[#This Row],[Mes]],1)</f>
        <v>457</v>
      </c>
      <c r="H89" s="10" t="s">
        <v>13</v>
      </c>
      <c r="I89" s="10" t="s">
        <v>106</v>
      </c>
    </row>
    <row r="90" spans="1:9" x14ac:dyDescent="0.25">
      <c r="A90" s="3">
        <v>41790</v>
      </c>
      <c r="B90">
        <v>1.4</v>
      </c>
      <c r="C90">
        <v>2014</v>
      </c>
      <c r="D90" s="6">
        <f>DATE(Tabla2[[#This Row],[Año]],1,1)</f>
        <v>41640</v>
      </c>
      <c r="E90">
        <v>1.014</v>
      </c>
      <c r="F90">
        <v>5</v>
      </c>
      <c r="G90" s="8">
        <f>DATE(1,Tabla2[[#This Row],[Mes]],1)</f>
        <v>487</v>
      </c>
      <c r="H90" s="10" t="s">
        <v>15</v>
      </c>
      <c r="I90" s="10" t="s">
        <v>107</v>
      </c>
    </row>
    <row r="91" spans="1:9" x14ac:dyDescent="0.25">
      <c r="A91" s="3">
        <v>41820</v>
      </c>
      <c r="B91">
        <v>1.3</v>
      </c>
      <c r="C91">
        <v>2014</v>
      </c>
      <c r="D91" s="6">
        <f>DATE(Tabla2[[#This Row],[Año]],1,1)</f>
        <v>41640</v>
      </c>
      <c r="E91">
        <v>1.0129999999999999</v>
      </c>
      <c r="F91">
        <v>6</v>
      </c>
      <c r="G91" s="8">
        <f>DATE(1,Tabla2[[#This Row],[Mes]],1)</f>
        <v>518</v>
      </c>
      <c r="H91" s="10" t="s">
        <v>17</v>
      </c>
      <c r="I91" s="10" t="s">
        <v>108</v>
      </c>
    </row>
    <row r="92" spans="1:9" x14ac:dyDescent="0.25">
      <c r="A92" s="3">
        <v>41851</v>
      </c>
      <c r="B92">
        <v>1.4</v>
      </c>
      <c r="C92">
        <v>2014</v>
      </c>
      <c r="D92" s="6">
        <f>DATE(Tabla2[[#This Row],[Año]],1,1)</f>
        <v>41640</v>
      </c>
      <c r="E92">
        <v>1.014</v>
      </c>
      <c r="F92">
        <v>7</v>
      </c>
      <c r="G92" s="8">
        <f>DATE(1,Tabla2[[#This Row],[Mes]],1)</f>
        <v>548</v>
      </c>
      <c r="H92" s="10" t="s">
        <v>19</v>
      </c>
      <c r="I92" s="10" t="s">
        <v>109</v>
      </c>
    </row>
    <row r="93" spans="1:9" x14ac:dyDescent="0.25">
      <c r="A93" s="3">
        <v>41882</v>
      </c>
      <c r="B93">
        <v>1.3</v>
      </c>
      <c r="C93">
        <v>2014</v>
      </c>
      <c r="D93" s="6">
        <f>DATE(Tabla2[[#This Row],[Año]],1,1)</f>
        <v>41640</v>
      </c>
      <c r="E93">
        <v>1.0129999999999999</v>
      </c>
      <c r="F93">
        <v>8</v>
      </c>
      <c r="G93" s="8">
        <f>DATE(1,Tabla2[[#This Row],[Mes]],1)</f>
        <v>579</v>
      </c>
      <c r="H93" s="10" t="s">
        <v>21</v>
      </c>
      <c r="I93" s="10" t="s">
        <v>110</v>
      </c>
    </row>
    <row r="94" spans="1:9" x14ac:dyDescent="0.25">
      <c r="A94" s="3">
        <v>41912</v>
      </c>
      <c r="B94">
        <v>1.4</v>
      </c>
      <c r="C94">
        <v>2014</v>
      </c>
      <c r="D94" s="6">
        <f>DATE(Tabla2[[#This Row],[Año]],1,1)</f>
        <v>41640</v>
      </c>
      <c r="E94">
        <v>1.014</v>
      </c>
      <c r="F94">
        <v>9</v>
      </c>
      <c r="G94" s="8">
        <f>DATE(1,Tabla2[[#This Row],[Mes]],1)</f>
        <v>610</v>
      </c>
      <c r="H94" s="10" t="s">
        <v>23</v>
      </c>
      <c r="I94" s="10" t="s">
        <v>111</v>
      </c>
    </row>
    <row r="95" spans="1:9" x14ac:dyDescent="0.25">
      <c r="A95" s="3">
        <v>41943</v>
      </c>
      <c r="B95">
        <v>1.2</v>
      </c>
      <c r="C95">
        <v>2014</v>
      </c>
      <c r="D95" s="6">
        <f>DATE(Tabla2[[#This Row],[Año]],1,1)</f>
        <v>41640</v>
      </c>
      <c r="E95">
        <v>1.012</v>
      </c>
      <c r="F95">
        <v>10</v>
      </c>
      <c r="G95" s="8">
        <f>DATE(1,Tabla2[[#This Row],[Mes]],1)</f>
        <v>640</v>
      </c>
      <c r="H95" s="10" t="s">
        <v>25</v>
      </c>
      <c r="I95" s="10" t="s">
        <v>112</v>
      </c>
    </row>
    <row r="96" spans="1:9" x14ac:dyDescent="0.25">
      <c r="A96" s="3">
        <v>41973</v>
      </c>
      <c r="B96">
        <v>1.1000000000000001</v>
      </c>
      <c r="C96">
        <v>2014</v>
      </c>
      <c r="D96" s="6">
        <f>DATE(Tabla2[[#This Row],[Año]],1,1)</f>
        <v>41640</v>
      </c>
      <c r="E96">
        <v>1.0109999999999999</v>
      </c>
      <c r="F96">
        <v>11</v>
      </c>
      <c r="G96" s="8">
        <f>DATE(1,Tabla2[[#This Row],[Mes]],1)</f>
        <v>671</v>
      </c>
      <c r="H96" s="10" t="s">
        <v>27</v>
      </c>
      <c r="I96" s="10" t="s">
        <v>113</v>
      </c>
    </row>
    <row r="97" spans="1:9" x14ac:dyDescent="0.25">
      <c r="A97" s="3">
        <v>42004</v>
      </c>
      <c r="B97">
        <v>1</v>
      </c>
      <c r="C97">
        <v>2014</v>
      </c>
      <c r="D97" s="6">
        <f>DATE(Tabla2[[#This Row],[Año]],1,1)</f>
        <v>41640</v>
      </c>
      <c r="E97">
        <v>1.01</v>
      </c>
      <c r="F97">
        <v>12</v>
      </c>
      <c r="G97" s="8">
        <f>DATE(1,Tabla2[[#This Row],[Mes]],1)</f>
        <v>701</v>
      </c>
      <c r="H97" s="10" t="s">
        <v>29</v>
      </c>
      <c r="I97" s="10" t="s">
        <v>114</v>
      </c>
    </row>
    <row r="98" spans="1:9" x14ac:dyDescent="0.25">
      <c r="A98" s="3">
        <v>42035</v>
      </c>
      <c r="B98">
        <v>1.1000000000000001</v>
      </c>
      <c r="C98">
        <v>2015</v>
      </c>
      <c r="D98" s="6">
        <f>DATE(Tabla2[[#This Row],[Año]],1,1)</f>
        <v>42005</v>
      </c>
      <c r="E98">
        <v>1.0109999999999999</v>
      </c>
      <c r="F98">
        <v>1</v>
      </c>
      <c r="G98" s="8">
        <f>DATE(1,Tabla2[[#This Row],[Mes]],1)</f>
        <v>367</v>
      </c>
      <c r="H98" s="10" t="s">
        <v>7</v>
      </c>
      <c r="I98" s="10" t="s">
        <v>115</v>
      </c>
    </row>
    <row r="99" spans="1:9" x14ac:dyDescent="0.25">
      <c r="A99" s="3">
        <v>42063</v>
      </c>
      <c r="B99">
        <v>0.9</v>
      </c>
      <c r="C99">
        <v>2015</v>
      </c>
      <c r="D99" s="6">
        <f>DATE(Tabla2[[#This Row],[Año]],1,1)</f>
        <v>42005</v>
      </c>
      <c r="E99">
        <v>1.0089999999999999</v>
      </c>
      <c r="F99">
        <v>2</v>
      </c>
      <c r="G99" s="8">
        <f>DATE(1,Tabla2[[#This Row],[Mes]],1)</f>
        <v>398</v>
      </c>
      <c r="H99" s="10" t="s">
        <v>9</v>
      </c>
      <c r="I99" s="10" t="s">
        <v>116</v>
      </c>
    </row>
    <row r="100" spans="1:9" x14ac:dyDescent="0.25">
      <c r="A100" s="3">
        <v>42094</v>
      </c>
      <c r="B100">
        <v>1.3</v>
      </c>
      <c r="C100">
        <v>2015</v>
      </c>
      <c r="D100" s="6">
        <f>DATE(Tabla2[[#This Row],[Año]],1,1)</f>
        <v>42005</v>
      </c>
      <c r="E100">
        <v>1.0129999999999999</v>
      </c>
      <c r="F100">
        <v>3</v>
      </c>
      <c r="G100" s="8">
        <f>DATE(1,Tabla2[[#This Row],[Mes]],1)</f>
        <v>426</v>
      </c>
      <c r="H100" s="10" t="s">
        <v>11</v>
      </c>
      <c r="I100" s="10" t="s">
        <v>117</v>
      </c>
    </row>
    <row r="101" spans="1:9" x14ac:dyDescent="0.25">
      <c r="A101" s="3">
        <v>42124</v>
      </c>
      <c r="B101">
        <v>1.1000000000000001</v>
      </c>
      <c r="C101">
        <v>2015</v>
      </c>
      <c r="D101" s="6">
        <f>DATE(Tabla2[[#This Row],[Año]],1,1)</f>
        <v>42005</v>
      </c>
      <c r="E101">
        <v>1.0109999999999999</v>
      </c>
      <c r="F101">
        <v>4</v>
      </c>
      <c r="G101" s="8">
        <f>DATE(1,Tabla2[[#This Row],[Mes]],1)</f>
        <v>457</v>
      </c>
      <c r="H101" s="10" t="s">
        <v>13</v>
      </c>
      <c r="I101" s="10" t="s">
        <v>118</v>
      </c>
    </row>
    <row r="102" spans="1:9" x14ac:dyDescent="0.25">
      <c r="A102" s="3">
        <v>42155</v>
      </c>
      <c r="B102">
        <v>1</v>
      </c>
      <c r="C102">
        <v>2015</v>
      </c>
      <c r="D102" s="6">
        <f>DATE(Tabla2[[#This Row],[Año]],1,1)</f>
        <v>42005</v>
      </c>
      <c r="E102">
        <v>1.01</v>
      </c>
      <c r="F102">
        <v>5</v>
      </c>
      <c r="G102" s="8">
        <f>DATE(1,Tabla2[[#This Row],[Mes]],1)</f>
        <v>487</v>
      </c>
      <c r="H102" s="10" t="s">
        <v>15</v>
      </c>
      <c r="I102" s="10" t="s">
        <v>119</v>
      </c>
    </row>
    <row r="103" spans="1:9" x14ac:dyDescent="0.25">
      <c r="A103" s="3">
        <v>42185</v>
      </c>
      <c r="B103">
        <v>1</v>
      </c>
      <c r="C103">
        <v>2015</v>
      </c>
      <c r="D103" s="6">
        <f>DATE(Tabla2[[#This Row],[Año]],1,1)</f>
        <v>42005</v>
      </c>
      <c r="E103">
        <v>1.01</v>
      </c>
      <c r="F103">
        <v>6</v>
      </c>
      <c r="G103" s="8">
        <f>DATE(1,Tabla2[[#This Row],[Mes]],1)</f>
        <v>518</v>
      </c>
      <c r="H103" s="10" t="s">
        <v>17</v>
      </c>
      <c r="I103" s="10" t="s">
        <v>120</v>
      </c>
    </row>
    <row r="104" spans="1:9" x14ac:dyDescent="0.25">
      <c r="A104" s="3">
        <v>42216</v>
      </c>
      <c r="B104">
        <v>1.3</v>
      </c>
      <c r="C104">
        <v>2015</v>
      </c>
      <c r="D104" s="6">
        <f>DATE(Tabla2[[#This Row],[Año]],1,1)</f>
        <v>42005</v>
      </c>
      <c r="E104">
        <v>1.0129999999999999</v>
      </c>
      <c r="F104">
        <v>7</v>
      </c>
      <c r="G104" s="8">
        <f>DATE(1,Tabla2[[#This Row],[Mes]],1)</f>
        <v>548</v>
      </c>
      <c r="H104" s="10" t="s">
        <v>19</v>
      </c>
      <c r="I104" s="10" t="s">
        <v>121</v>
      </c>
    </row>
    <row r="105" spans="1:9" x14ac:dyDescent="0.25">
      <c r="A105" s="3">
        <v>42247</v>
      </c>
      <c r="B105">
        <v>1.2</v>
      </c>
      <c r="C105">
        <v>2015</v>
      </c>
      <c r="D105" s="6">
        <f>DATE(Tabla2[[#This Row],[Año]],1,1)</f>
        <v>42005</v>
      </c>
      <c r="E105">
        <v>1.012</v>
      </c>
      <c r="F105">
        <v>8</v>
      </c>
      <c r="G105" s="8">
        <f>DATE(1,Tabla2[[#This Row],[Mes]],1)</f>
        <v>579</v>
      </c>
      <c r="H105" s="10" t="s">
        <v>21</v>
      </c>
      <c r="I105" s="10" t="s">
        <v>122</v>
      </c>
    </row>
    <row r="106" spans="1:9" x14ac:dyDescent="0.25">
      <c r="A106" s="3">
        <v>42277</v>
      </c>
      <c r="B106">
        <v>1.2</v>
      </c>
      <c r="C106">
        <v>2015</v>
      </c>
      <c r="D106" s="6">
        <f>DATE(Tabla2[[#This Row],[Año]],1,1)</f>
        <v>42005</v>
      </c>
      <c r="E106">
        <v>1.012</v>
      </c>
      <c r="F106">
        <v>9</v>
      </c>
      <c r="G106" s="8">
        <f>DATE(1,Tabla2[[#This Row],[Mes]],1)</f>
        <v>610</v>
      </c>
      <c r="H106" s="10" t="s">
        <v>23</v>
      </c>
      <c r="I106" s="10" t="s">
        <v>123</v>
      </c>
    </row>
    <row r="107" spans="1:9" x14ac:dyDescent="0.25">
      <c r="A107" s="3">
        <v>42308</v>
      </c>
      <c r="B107">
        <v>1.1000000000000001</v>
      </c>
      <c r="C107">
        <v>2015</v>
      </c>
      <c r="D107" s="6">
        <f>DATE(Tabla2[[#This Row],[Año]],1,1)</f>
        <v>42005</v>
      </c>
      <c r="E107">
        <v>1.0109999999999999</v>
      </c>
      <c r="F107">
        <v>10</v>
      </c>
      <c r="G107" s="8">
        <f>DATE(1,Tabla2[[#This Row],[Mes]],1)</f>
        <v>640</v>
      </c>
      <c r="H107" s="10" t="s">
        <v>25</v>
      </c>
      <c r="I107" s="10" t="s">
        <v>124</v>
      </c>
    </row>
    <row r="108" spans="1:9" x14ac:dyDescent="0.25">
      <c r="A108" s="3">
        <v>42338</v>
      </c>
      <c r="B108">
        <v>2</v>
      </c>
      <c r="C108">
        <v>2015</v>
      </c>
      <c r="D108" s="6">
        <f>DATE(Tabla2[[#This Row],[Año]],1,1)</f>
        <v>42005</v>
      </c>
      <c r="E108">
        <v>1.02</v>
      </c>
      <c r="F108">
        <v>11</v>
      </c>
      <c r="G108" s="8">
        <f>DATE(1,Tabla2[[#This Row],[Mes]],1)</f>
        <v>671</v>
      </c>
      <c r="H108" s="10" t="s">
        <v>27</v>
      </c>
      <c r="I108" s="10" t="s">
        <v>125</v>
      </c>
    </row>
    <row r="109" spans="1:9" x14ac:dyDescent="0.25">
      <c r="A109" s="3">
        <v>42369</v>
      </c>
      <c r="B109">
        <v>3.9</v>
      </c>
      <c r="C109">
        <v>2015</v>
      </c>
      <c r="D109" s="6">
        <f>DATE(Tabla2[[#This Row],[Año]],1,1)</f>
        <v>42005</v>
      </c>
      <c r="E109">
        <v>1.0389999999999999</v>
      </c>
      <c r="F109">
        <v>12</v>
      </c>
      <c r="G109" s="8">
        <f>DATE(1,Tabla2[[#This Row],[Mes]],1)</f>
        <v>701</v>
      </c>
      <c r="H109" s="10" t="s">
        <v>29</v>
      </c>
      <c r="I109" s="10" t="s">
        <v>126</v>
      </c>
    </row>
    <row r="110" spans="1:9" x14ac:dyDescent="0.25">
      <c r="A110" s="3">
        <v>42400</v>
      </c>
      <c r="B110">
        <v>4.0999999999999996</v>
      </c>
      <c r="C110">
        <v>2016</v>
      </c>
      <c r="D110" s="6">
        <f>DATE(Tabla2[[#This Row],[Año]],1,1)</f>
        <v>42370</v>
      </c>
      <c r="E110">
        <v>1.0409999999999999</v>
      </c>
      <c r="F110">
        <v>1</v>
      </c>
      <c r="G110" s="8">
        <f>DATE(1,Tabla2[[#This Row],[Mes]],1)</f>
        <v>367</v>
      </c>
      <c r="H110" s="10" t="s">
        <v>7</v>
      </c>
      <c r="I110" s="10" t="s">
        <v>127</v>
      </c>
    </row>
    <row r="111" spans="1:9" x14ac:dyDescent="0.25">
      <c r="A111" s="3">
        <v>42429</v>
      </c>
      <c r="B111">
        <v>2.7</v>
      </c>
      <c r="C111">
        <v>2016</v>
      </c>
      <c r="D111" s="6">
        <f>DATE(Tabla2[[#This Row],[Año]],1,1)</f>
        <v>42370</v>
      </c>
      <c r="E111">
        <v>1.0269999999999999</v>
      </c>
      <c r="F111">
        <v>2</v>
      </c>
      <c r="G111" s="8">
        <f>DATE(1,Tabla2[[#This Row],[Mes]],1)</f>
        <v>398</v>
      </c>
      <c r="H111" s="10" t="s">
        <v>9</v>
      </c>
      <c r="I111" s="10" t="s">
        <v>128</v>
      </c>
    </row>
    <row r="112" spans="1:9" x14ac:dyDescent="0.25">
      <c r="A112" s="3">
        <v>42460</v>
      </c>
      <c r="B112">
        <v>3</v>
      </c>
      <c r="C112">
        <v>2016</v>
      </c>
      <c r="D112" s="6">
        <f>DATE(Tabla2[[#This Row],[Año]],1,1)</f>
        <v>42370</v>
      </c>
      <c r="E112">
        <v>1.03</v>
      </c>
      <c r="F112">
        <v>3</v>
      </c>
      <c r="G112" s="8">
        <f>DATE(1,Tabla2[[#This Row],[Mes]],1)</f>
        <v>426</v>
      </c>
      <c r="H112" s="10" t="s">
        <v>11</v>
      </c>
      <c r="I112" s="10" t="s">
        <v>129</v>
      </c>
    </row>
    <row r="113" spans="1:9" x14ac:dyDescent="0.25">
      <c r="A113" s="3">
        <v>42490</v>
      </c>
      <c r="B113">
        <v>3.4</v>
      </c>
      <c r="C113">
        <v>2016</v>
      </c>
      <c r="D113" s="6">
        <f>DATE(Tabla2[[#This Row],[Año]],1,1)</f>
        <v>42370</v>
      </c>
      <c r="E113">
        <v>1.034</v>
      </c>
      <c r="F113">
        <v>4</v>
      </c>
      <c r="G113" s="8">
        <f>DATE(1,Tabla2[[#This Row],[Mes]],1)</f>
        <v>457</v>
      </c>
      <c r="H113" s="10" t="s">
        <v>13</v>
      </c>
      <c r="I113" s="10" t="s">
        <v>130</v>
      </c>
    </row>
    <row r="114" spans="1:9" x14ac:dyDescent="0.25">
      <c r="A114" s="3">
        <v>42521</v>
      </c>
      <c r="B114">
        <v>4.2</v>
      </c>
      <c r="C114">
        <v>2016</v>
      </c>
      <c r="D114" s="6">
        <f>DATE(Tabla2[[#This Row],[Año]],1,1)</f>
        <v>42370</v>
      </c>
      <c r="E114">
        <v>1.042</v>
      </c>
      <c r="F114">
        <v>5</v>
      </c>
      <c r="G114" s="8">
        <f>DATE(1,Tabla2[[#This Row],[Mes]],1)</f>
        <v>487</v>
      </c>
      <c r="H114" s="10" t="s">
        <v>15</v>
      </c>
      <c r="I114" s="10" t="s">
        <v>131</v>
      </c>
    </row>
    <row r="115" spans="1:9" x14ac:dyDescent="0.25">
      <c r="A115" s="3">
        <v>42551</v>
      </c>
      <c r="B115">
        <v>3.1</v>
      </c>
      <c r="C115">
        <v>2016</v>
      </c>
      <c r="D115" s="6">
        <f>DATE(Tabla2[[#This Row],[Año]],1,1)</f>
        <v>42370</v>
      </c>
      <c r="E115">
        <v>1.0309999999999999</v>
      </c>
      <c r="F115">
        <v>6</v>
      </c>
      <c r="G115" s="8">
        <f>DATE(1,Tabla2[[#This Row],[Mes]],1)</f>
        <v>518</v>
      </c>
      <c r="H115" s="10" t="s">
        <v>17</v>
      </c>
      <c r="I115" s="10" t="s">
        <v>132</v>
      </c>
    </row>
    <row r="116" spans="1:9" x14ac:dyDescent="0.25">
      <c r="A116" s="3">
        <v>42582</v>
      </c>
      <c r="B116">
        <v>2</v>
      </c>
      <c r="C116">
        <v>2016</v>
      </c>
      <c r="D116" s="6">
        <f>DATE(Tabla2[[#This Row],[Año]],1,1)</f>
        <v>42370</v>
      </c>
      <c r="E116">
        <v>1.02</v>
      </c>
      <c r="F116">
        <v>7</v>
      </c>
      <c r="G116" s="8">
        <f>DATE(1,Tabla2[[#This Row],[Mes]],1)</f>
        <v>548</v>
      </c>
      <c r="H116" s="10" t="s">
        <v>19</v>
      </c>
      <c r="I116" s="10" t="s">
        <v>133</v>
      </c>
    </row>
    <row r="117" spans="1:9" x14ac:dyDescent="0.25">
      <c r="A117" s="3">
        <v>42613</v>
      </c>
      <c r="B117">
        <v>0.2</v>
      </c>
      <c r="C117">
        <v>2016</v>
      </c>
      <c r="D117" s="6">
        <f>DATE(Tabla2[[#This Row],[Año]],1,1)</f>
        <v>42370</v>
      </c>
      <c r="E117">
        <v>1.002</v>
      </c>
      <c r="F117">
        <v>8</v>
      </c>
      <c r="G117" s="8">
        <f>DATE(1,Tabla2[[#This Row],[Mes]],1)</f>
        <v>579</v>
      </c>
      <c r="H117" s="10" t="s">
        <v>21</v>
      </c>
      <c r="I117" s="10" t="s">
        <v>134</v>
      </c>
    </row>
    <row r="118" spans="1:9" x14ac:dyDescent="0.25">
      <c r="A118" s="3">
        <v>42643</v>
      </c>
      <c r="B118">
        <v>1.1000000000000001</v>
      </c>
      <c r="C118">
        <v>2016</v>
      </c>
      <c r="D118" s="6">
        <f>DATE(Tabla2[[#This Row],[Año]],1,1)</f>
        <v>42370</v>
      </c>
      <c r="E118">
        <v>1.0109999999999999</v>
      </c>
      <c r="F118">
        <v>9</v>
      </c>
      <c r="G118" s="8">
        <f>DATE(1,Tabla2[[#This Row],[Mes]],1)</f>
        <v>610</v>
      </c>
      <c r="H118" s="10" t="s">
        <v>23</v>
      </c>
      <c r="I118" s="10" t="s">
        <v>135</v>
      </c>
    </row>
    <row r="119" spans="1:9" x14ac:dyDescent="0.25">
      <c r="A119" s="3">
        <v>42674</v>
      </c>
      <c r="B119">
        <v>2.4</v>
      </c>
      <c r="C119">
        <v>2016</v>
      </c>
      <c r="D119" s="6">
        <f>DATE(Tabla2[[#This Row],[Año]],1,1)</f>
        <v>42370</v>
      </c>
      <c r="E119">
        <v>1.024</v>
      </c>
      <c r="F119">
        <v>10</v>
      </c>
      <c r="G119" s="8">
        <f>DATE(1,Tabla2[[#This Row],[Mes]],1)</f>
        <v>640</v>
      </c>
      <c r="H119" s="10" t="s">
        <v>25</v>
      </c>
      <c r="I119" s="10" t="s">
        <v>136</v>
      </c>
    </row>
    <row r="120" spans="1:9" x14ac:dyDescent="0.25">
      <c r="A120" s="3">
        <v>42704</v>
      </c>
      <c r="B120">
        <v>1.6</v>
      </c>
      <c r="C120">
        <v>2016</v>
      </c>
      <c r="D120" s="6">
        <f>DATE(Tabla2[[#This Row],[Año]],1,1)</f>
        <v>42370</v>
      </c>
      <c r="E120">
        <v>1.016</v>
      </c>
      <c r="F120">
        <v>11</v>
      </c>
      <c r="G120" s="8">
        <f>DATE(1,Tabla2[[#This Row],[Mes]],1)</f>
        <v>671</v>
      </c>
      <c r="H120" s="10" t="s">
        <v>27</v>
      </c>
      <c r="I120" s="10" t="s">
        <v>137</v>
      </c>
    </row>
    <row r="121" spans="1:9" x14ac:dyDescent="0.25">
      <c r="A121" s="3">
        <v>42735</v>
      </c>
      <c r="B121">
        <v>1.2</v>
      </c>
      <c r="C121">
        <v>2016</v>
      </c>
      <c r="D121" s="6">
        <f>DATE(Tabla2[[#This Row],[Año]],1,1)</f>
        <v>42370</v>
      </c>
      <c r="E121">
        <v>1.012</v>
      </c>
      <c r="F121">
        <v>12</v>
      </c>
      <c r="G121" s="8">
        <f>DATE(1,Tabla2[[#This Row],[Mes]],1)</f>
        <v>701</v>
      </c>
      <c r="H121" s="10" t="s">
        <v>29</v>
      </c>
      <c r="I121" s="10" t="s">
        <v>138</v>
      </c>
    </row>
    <row r="122" spans="1:9" x14ac:dyDescent="0.25">
      <c r="A122" s="3">
        <v>42766</v>
      </c>
      <c r="B122">
        <v>1.3</v>
      </c>
      <c r="C122">
        <v>2017</v>
      </c>
      <c r="D122" s="6">
        <f>DATE(Tabla2[[#This Row],[Año]],1,1)</f>
        <v>42736</v>
      </c>
      <c r="E122">
        <v>1.0129999999999999</v>
      </c>
      <c r="F122">
        <v>1</v>
      </c>
      <c r="G122" s="8">
        <f>DATE(1,Tabla2[[#This Row],[Mes]],1)</f>
        <v>367</v>
      </c>
      <c r="H122" s="10" t="s">
        <v>7</v>
      </c>
      <c r="I122" s="10" t="s">
        <v>139</v>
      </c>
    </row>
    <row r="123" spans="1:9" x14ac:dyDescent="0.25">
      <c r="A123" s="3">
        <v>42794</v>
      </c>
      <c r="B123">
        <v>2.5</v>
      </c>
      <c r="C123">
        <v>2017</v>
      </c>
      <c r="D123" s="6">
        <f>DATE(Tabla2[[#This Row],[Año]],1,1)</f>
        <v>42736</v>
      </c>
      <c r="E123">
        <v>1.0249999999999999</v>
      </c>
      <c r="F123">
        <v>2</v>
      </c>
      <c r="G123" s="8">
        <f>DATE(1,Tabla2[[#This Row],[Mes]],1)</f>
        <v>398</v>
      </c>
      <c r="H123" s="10" t="s">
        <v>9</v>
      </c>
      <c r="I123" s="10" t="s">
        <v>140</v>
      </c>
    </row>
    <row r="124" spans="1:9" x14ac:dyDescent="0.25">
      <c r="A124" s="3">
        <v>42825</v>
      </c>
      <c r="B124">
        <v>2.4</v>
      </c>
      <c r="C124">
        <v>2017</v>
      </c>
      <c r="D124" s="6">
        <f>DATE(Tabla2[[#This Row],[Año]],1,1)</f>
        <v>42736</v>
      </c>
      <c r="E124">
        <v>1.024</v>
      </c>
      <c r="F124">
        <v>3</v>
      </c>
      <c r="G124" s="8">
        <f>DATE(1,Tabla2[[#This Row],[Mes]],1)</f>
        <v>426</v>
      </c>
      <c r="H124" s="10" t="s">
        <v>11</v>
      </c>
      <c r="I124" s="10" t="s">
        <v>141</v>
      </c>
    </row>
    <row r="125" spans="1:9" x14ac:dyDescent="0.25">
      <c r="A125" s="3">
        <v>42855</v>
      </c>
      <c r="B125">
        <v>2.6</v>
      </c>
      <c r="C125">
        <v>2017</v>
      </c>
      <c r="D125" s="6">
        <f>DATE(Tabla2[[#This Row],[Año]],1,1)</f>
        <v>42736</v>
      </c>
      <c r="E125">
        <v>1.026</v>
      </c>
      <c r="F125">
        <v>4</v>
      </c>
      <c r="G125" s="8">
        <f>DATE(1,Tabla2[[#This Row],[Mes]],1)</f>
        <v>457</v>
      </c>
      <c r="H125" s="10" t="s">
        <v>13</v>
      </c>
      <c r="I125" s="10" t="s">
        <v>142</v>
      </c>
    </row>
    <row r="126" spans="1:9" x14ac:dyDescent="0.25">
      <c r="A126" s="3">
        <v>42886</v>
      </c>
      <c r="B126">
        <v>1.3</v>
      </c>
      <c r="C126">
        <v>2017</v>
      </c>
      <c r="D126" s="6">
        <f>DATE(Tabla2[[#This Row],[Año]],1,1)</f>
        <v>42736</v>
      </c>
      <c r="E126">
        <v>1.0129999999999999</v>
      </c>
      <c r="F126">
        <v>5</v>
      </c>
      <c r="G126" s="8">
        <f>DATE(1,Tabla2[[#This Row],[Mes]],1)</f>
        <v>487</v>
      </c>
      <c r="H126" s="10" t="s">
        <v>15</v>
      </c>
      <c r="I126" s="10" t="s">
        <v>143</v>
      </c>
    </row>
    <row r="127" spans="1:9" x14ac:dyDescent="0.25">
      <c r="A127" s="3">
        <v>42916</v>
      </c>
      <c r="B127">
        <v>1.2</v>
      </c>
      <c r="C127">
        <v>2017</v>
      </c>
      <c r="D127" s="6">
        <f>DATE(Tabla2[[#This Row],[Año]],1,1)</f>
        <v>42736</v>
      </c>
      <c r="E127">
        <v>1.012</v>
      </c>
      <c r="F127">
        <v>6</v>
      </c>
      <c r="G127" s="8">
        <f>DATE(1,Tabla2[[#This Row],[Mes]],1)</f>
        <v>518</v>
      </c>
      <c r="H127" s="10" t="s">
        <v>17</v>
      </c>
      <c r="I127" s="10" t="s">
        <v>144</v>
      </c>
    </row>
    <row r="128" spans="1:9" x14ac:dyDescent="0.25">
      <c r="A128" s="3">
        <v>42947</v>
      </c>
      <c r="B128">
        <v>1.7</v>
      </c>
      <c r="C128">
        <v>2017</v>
      </c>
      <c r="D128" s="6">
        <f>DATE(Tabla2[[#This Row],[Año]],1,1)</f>
        <v>42736</v>
      </c>
      <c r="E128">
        <v>1.0169999999999999</v>
      </c>
      <c r="F128">
        <v>7</v>
      </c>
      <c r="G128" s="8">
        <f>DATE(1,Tabla2[[#This Row],[Mes]],1)</f>
        <v>548</v>
      </c>
      <c r="H128" s="10" t="s">
        <v>19</v>
      </c>
      <c r="I128" s="10" t="s">
        <v>145</v>
      </c>
    </row>
    <row r="129" spans="1:9" x14ac:dyDescent="0.25">
      <c r="A129" s="3">
        <v>42978</v>
      </c>
      <c r="B129">
        <v>1.4</v>
      </c>
      <c r="C129">
        <v>2017</v>
      </c>
      <c r="D129" s="6">
        <f>DATE(Tabla2[[#This Row],[Año]],1,1)</f>
        <v>42736</v>
      </c>
      <c r="E129">
        <v>1.014</v>
      </c>
      <c r="F129">
        <v>8</v>
      </c>
      <c r="G129" s="8">
        <f>DATE(1,Tabla2[[#This Row],[Mes]],1)</f>
        <v>579</v>
      </c>
      <c r="H129" s="10" t="s">
        <v>21</v>
      </c>
      <c r="I129" s="10" t="s">
        <v>146</v>
      </c>
    </row>
    <row r="130" spans="1:9" x14ac:dyDescent="0.25">
      <c r="A130" s="3">
        <v>43008</v>
      </c>
      <c r="B130">
        <v>1.9</v>
      </c>
      <c r="C130">
        <v>2017</v>
      </c>
      <c r="D130" s="6">
        <f>DATE(Tabla2[[#This Row],[Año]],1,1)</f>
        <v>42736</v>
      </c>
      <c r="E130">
        <v>1.0189999999999999</v>
      </c>
      <c r="F130">
        <v>9</v>
      </c>
      <c r="G130" s="8">
        <f>DATE(1,Tabla2[[#This Row],[Mes]],1)</f>
        <v>610</v>
      </c>
      <c r="H130" s="10" t="s">
        <v>23</v>
      </c>
      <c r="I130" s="10" t="s">
        <v>147</v>
      </c>
    </row>
    <row r="131" spans="1:9" x14ac:dyDescent="0.25">
      <c r="A131" s="3">
        <v>43039</v>
      </c>
      <c r="B131">
        <v>1.5</v>
      </c>
      <c r="C131">
        <v>2017</v>
      </c>
      <c r="D131" s="6">
        <f>DATE(Tabla2[[#This Row],[Año]],1,1)</f>
        <v>42736</v>
      </c>
      <c r="E131">
        <v>1.0149999999999999</v>
      </c>
      <c r="F131">
        <v>10</v>
      </c>
      <c r="G131" s="8">
        <f>DATE(1,Tabla2[[#This Row],[Mes]],1)</f>
        <v>640</v>
      </c>
      <c r="H131" s="10" t="s">
        <v>25</v>
      </c>
      <c r="I131" s="10" t="s">
        <v>148</v>
      </c>
    </row>
    <row r="132" spans="1:9" x14ac:dyDescent="0.25">
      <c r="A132" s="3">
        <v>43069</v>
      </c>
      <c r="B132">
        <v>1.4</v>
      </c>
      <c r="C132">
        <v>2017</v>
      </c>
      <c r="D132" s="6">
        <f>DATE(Tabla2[[#This Row],[Año]],1,1)</f>
        <v>42736</v>
      </c>
      <c r="E132">
        <v>1.014</v>
      </c>
      <c r="F132">
        <v>11</v>
      </c>
      <c r="G132" s="8">
        <f>DATE(1,Tabla2[[#This Row],[Mes]],1)</f>
        <v>671</v>
      </c>
      <c r="H132" s="10" t="s">
        <v>27</v>
      </c>
      <c r="I132" s="10" t="s">
        <v>149</v>
      </c>
    </row>
    <row r="133" spans="1:9" x14ac:dyDescent="0.25">
      <c r="A133" s="3">
        <v>43100</v>
      </c>
      <c r="B133">
        <v>3.1</v>
      </c>
      <c r="C133">
        <v>2017</v>
      </c>
      <c r="D133" s="6">
        <f>DATE(Tabla2[[#This Row],[Año]],1,1)</f>
        <v>42736</v>
      </c>
      <c r="E133">
        <v>1.0309999999999999</v>
      </c>
      <c r="F133">
        <v>12</v>
      </c>
      <c r="G133" s="8">
        <f>DATE(1,Tabla2[[#This Row],[Mes]],1)</f>
        <v>701</v>
      </c>
      <c r="H133" s="10" t="s">
        <v>29</v>
      </c>
      <c r="I133" s="10" t="s">
        <v>150</v>
      </c>
    </row>
    <row r="134" spans="1:9" x14ac:dyDescent="0.25">
      <c r="A134" s="3">
        <v>43131</v>
      </c>
      <c r="B134">
        <v>1.8</v>
      </c>
      <c r="C134">
        <v>2018</v>
      </c>
      <c r="D134" s="6">
        <f>DATE(Tabla2[[#This Row],[Año]],1,1)</f>
        <v>43101</v>
      </c>
      <c r="E134">
        <v>1.018</v>
      </c>
      <c r="F134">
        <v>1</v>
      </c>
      <c r="G134" s="8">
        <f>DATE(1,Tabla2[[#This Row],[Mes]],1)</f>
        <v>367</v>
      </c>
      <c r="H134" s="10" t="s">
        <v>7</v>
      </c>
      <c r="I134" s="10" t="s">
        <v>151</v>
      </c>
    </row>
    <row r="135" spans="1:9" x14ac:dyDescent="0.25">
      <c r="A135" s="3">
        <v>43159</v>
      </c>
      <c r="B135">
        <v>2.4</v>
      </c>
      <c r="C135">
        <v>2018</v>
      </c>
      <c r="D135" s="6">
        <f>DATE(Tabla2[[#This Row],[Año]],1,1)</f>
        <v>43101</v>
      </c>
      <c r="E135">
        <v>1.024</v>
      </c>
      <c r="F135">
        <v>2</v>
      </c>
      <c r="G135" s="8">
        <f>DATE(1,Tabla2[[#This Row],[Mes]],1)</f>
        <v>398</v>
      </c>
      <c r="H135" s="10" t="s">
        <v>9</v>
      </c>
      <c r="I135" s="10" t="s">
        <v>152</v>
      </c>
    </row>
    <row r="136" spans="1:9" x14ac:dyDescent="0.25">
      <c r="A136" s="3">
        <v>43190</v>
      </c>
      <c r="B136">
        <v>2.2999999999999998</v>
      </c>
      <c r="C136">
        <v>2018</v>
      </c>
      <c r="D136" s="6">
        <f>DATE(Tabla2[[#This Row],[Año]],1,1)</f>
        <v>43101</v>
      </c>
      <c r="E136">
        <v>1.0229999999999999</v>
      </c>
      <c r="F136">
        <v>3</v>
      </c>
      <c r="G136" s="8">
        <f>DATE(1,Tabla2[[#This Row],[Mes]],1)</f>
        <v>426</v>
      </c>
      <c r="H136" s="10" t="s">
        <v>11</v>
      </c>
      <c r="I136" s="10" t="s">
        <v>153</v>
      </c>
    </row>
    <row r="137" spans="1:9" x14ac:dyDescent="0.25">
      <c r="A137" s="3">
        <v>43220</v>
      </c>
      <c r="B137">
        <v>2.7</v>
      </c>
      <c r="C137">
        <v>2018</v>
      </c>
      <c r="D137" s="6">
        <f>DATE(Tabla2[[#This Row],[Año]],1,1)</f>
        <v>43101</v>
      </c>
      <c r="E137">
        <v>1.0269999999999999</v>
      </c>
      <c r="F137">
        <v>4</v>
      </c>
      <c r="G137" s="8">
        <f>DATE(1,Tabla2[[#This Row],[Mes]],1)</f>
        <v>457</v>
      </c>
      <c r="H137" s="10" t="s">
        <v>13</v>
      </c>
      <c r="I137" s="10" t="s">
        <v>154</v>
      </c>
    </row>
    <row r="138" spans="1:9" x14ac:dyDescent="0.25">
      <c r="A138" s="3">
        <v>43251</v>
      </c>
      <c r="B138">
        <v>2.1</v>
      </c>
      <c r="C138">
        <v>2018</v>
      </c>
      <c r="D138" s="6">
        <f>DATE(Tabla2[[#This Row],[Año]],1,1)</f>
        <v>43101</v>
      </c>
      <c r="E138">
        <v>1.0209999999999999</v>
      </c>
      <c r="F138">
        <v>5</v>
      </c>
      <c r="G138" s="8">
        <f>DATE(1,Tabla2[[#This Row],[Mes]],1)</f>
        <v>487</v>
      </c>
      <c r="H138" s="10" t="s">
        <v>15</v>
      </c>
      <c r="I138" s="10" t="s">
        <v>155</v>
      </c>
    </row>
    <row r="139" spans="1:9" x14ac:dyDescent="0.25">
      <c r="A139" s="3">
        <v>43281</v>
      </c>
      <c r="B139">
        <v>3.7</v>
      </c>
      <c r="C139">
        <v>2018</v>
      </c>
      <c r="D139" s="6">
        <f>DATE(Tabla2[[#This Row],[Año]],1,1)</f>
        <v>43101</v>
      </c>
      <c r="E139">
        <v>1.0369999999999999</v>
      </c>
      <c r="F139">
        <v>6</v>
      </c>
      <c r="G139" s="8">
        <f>DATE(1,Tabla2[[#This Row],[Mes]],1)</f>
        <v>518</v>
      </c>
      <c r="H139" s="10" t="s">
        <v>17</v>
      </c>
      <c r="I139" s="10" t="s">
        <v>156</v>
      </c>
    </row>
    <row r="140" spans="1:9" x14ac:dyDescent="0.25">
      <c r="A140" s="3">
        <v>43312</v>
      </c>
      <c r="B140">
        <v>3.1</v>
      </c>
      <c r="C140">
        <v>2018</v>
      </c>
      <c r="D140" s="6">
        <f>DATE(Tabla2[[#This Row],[Año]],1,1)</f>
        <v>43101</v>
      </c>
      <c r="E140">
        <v>1.0309999999999999</v>
      </c>
      <c r="F140">
        <v>7</v>
      </c>
      <c r="G140" s="8">
        <f>DATE(1,Tabla2[[#This Row],[Mes]],1)</f>
        <v>548</v>
      </c>
      <c r="H140" s="10" t="s">
        <v>19</v>
      </c>
      <c r="I140" s="10" t="s">
        <v>157</v>
      </c>
    </row>
    <row r="141" spans="1:9" x14ac:dyDescent="0.25">
      <c r="A141" s="3">
        <v>43343</v>
      </c>
      <c r="B141">
        <v>3.9</v>
      </c>
      <c r="C141">
        <v>2018</v>
      </c>
      <c r="D141" s="6">
        <f>DATE(Tabla2[[#This Row],[Año]],1,1)</f>
        <v>43101</v>
      </c>
      <c r="E141">
        <v>1.0389999999999999</v>
      </c>
      <c r="F141">
        <v>8</v>
      </c>
      <c r="G141" s="8">
        <f>DATE(1,Tabla2[[#This Row],[Mes]],1)</f>
        <v>579</v>
      </c>
      <c r="H141" s="10" t="s">
        <v>21</v>
      </c>
      <c r="I141" s="10" t="s">
        <v>158</v>
      </c>
    </row>
    <row r="142" spans="1:9" x14ac:dyDescent="0.25">
      <c r="A142" s="3">
        <v>43373</v>
      </c>
      <c r="B142">
        <v>6.5</v>
      </c>
      <c r="C142">
        <v>2018</v>
      </c>
      <c r="D142" s="6">
        <f>DATE(Tabla2[[#This Row],[Año]],1,1)</f>
        <v>43101</v>
      </c>
      <c r="E142">
        <v>1.0649999999999999</v>
      </c>
      <c r="F142">
        <v>9</v>
      </c>
      <c r="G142" s="8">
        <f>DATE(1,Tabla2[[#This Row],[Mes]],1)</f>
        <v>610</v>
      </c>
      <c r="H142" s="10" t="s">
        <v>23</v>
      </c>
      <c r="I142" s="10" t="s">
        <v>159</v>
      </c>
    </row>
    <row r="143" spans="1:9" x14ac:dyDescent="0.25">
      <c r="A143" s="3">
        <v>43404</v>
      </c>
      <c r="B143">
        <v>5.4</v>
      </c>
      <c r="C143">
        <v>2018</v>
      </c>
      <c r="D143" s="6">
        <f>DATE(Tabla2[[#This Row],[Año]],1,1)</f>
        <v>43101</v>
      </c>
      <c r="E143">
        <v>1.054</v>
      </c>
      <c r="F143">
        <v>10</v>
      </c>
      <c r="G143" s="8">
        <f>DATE(1,Tabla2[[#This Row],[Mes]],1)</f>
        <v>640</v>
      </c>
      <c r="H143" s="10" t="s">
        <v>25</v>
      </c>
      <c r="I143" s="10" t="s">
        <v>160</v>
      </c>
    </row>
    <row r="144" spans="1:9" x14ac:dyDescent="0.25">
      <c r="A144" s="3">
        <v>43434</v>
      </c>
      <c r="B144">
        <v>3.2</v>
      </c>
      <c r="C144">
        <v>2018</v>
      </c>
      <c r="D144" s="6">
        <f>DATE(Tabla2[[#This Row],[Año]],1,1)</f>
        <v>43101</v>
      </c>
      <c r="E144">
        <v>1.032</v>
      </c>
      <c r="F144">
        <v>11</v>
      </c>
      <c r="G144" s="8">
        <f>DATE(1,Tabla2[[#This Row],[Mes]],1)</f>
        <v>671</v>
      </c>
      <c r="H144" s="10" t="s">
        <v>27</v>
      </c>
      <c r="I144" s="10" t="s">
        <v>161</v>
      </c>
    </row>
    <row r="145" spans="1:9" x14ac:dyDescent="0.25">
      <c r="A145" s="3">
        <v>43465</v>
      </c>
      <c r="B145">
        <v>2.6</v>
      </c>
      <c r="C145">
        <v>2018</v>
      </c>
      <c r="D145" s="6">
        <f>DATE(Tabla2[[#This Row],[Año]],1,1)</f>
        <v>43101</v>
      </c>
      <c r="E145">
        <v>1.026</v>
      </c>
      <c r="F145">
        <v>12</v>
      </c>
      <c r="G145" s="8">
        <f>DATE(1,Tabla2[[#This Row],[Mes]],1)</f>
        <v>701</v>
      </c>
      <c r="H145" s="10" t="s">
        <v>29</v>
      </c>
      <c r="I145" s="10" t="s">
        <v>162</v>
      </c>
    </row>
    <row r="146" spans="1:9" x14ac:dyDescent="0.25">
      <c r="A146" s="3">
        <v>43496</v>
      </c>
      <c r="B146">
        <v>2.9</v>
      </c>
      <c r="C146">
        <v>2019</v>
      </c>
      <c r="D146" s="6">
        <f>DATE(Tabla2[[#This Row],[Año]],1,1)</f>
        <v>43466</v>
      </c>
      <c r="E146">
        <v>1.0289999999999999</v>
      </c>
      <c r="F146">
        <v>1</v>
      </c>
      <c r="G146" s="8">
        <f>DATE(1,Tabla2[[#This Row],[Mes]],1)</f>
        <v>367</v>
      </c>
      <c r="H146" s="10" t="s">
        <v>7</v>
      </c>
      <c r="I146" s="10" t="s">
        <v>163</v>
      </c>
    </row>
    <row r="147" spans="1:9" x14ac:dyDescent="0.25">
      <c r="A147" s="3">
        <v>43524</v>
      </c>
      <c r="B147">
        <v>3.8</v>
      </c>
      <c r="C147">
        <v>2019</v>
      </c>
      <c r="D147" s="6">
        <f>DATE(Tabla2[[#This Row],[Año]],1,1)</f>
        <v>43466</v>
      </c>
      <c r="E147">
        <v>1.038</v>
      </c>
      <c r="F147">
        <v>2</v>
      </c>
      <c r="G147" s="8">
        <f>DATE(1,Tabla2[[#This Row],[Mes]],1)</f>
        <v>398</v>
      </c>
      <c r="H147" s="10" t="s">
        <v>9</v>
      </c>
      <c r="I147" s="10" t="s">
        <v>164</v>
      </c>
    </row>
    <row r="148" spans="1:9" x14ac:dyDescent="0.25">
      <c r="A148" s="3">
        <v>43555</v>
      </c>
      <c r="B148">
        <v>4.7</v>
      </c>
      <c r="C148">
        <v>2019</v>
      </c>
      <c r="D148" s="6">
        <f>DATE(Tabla2[[#This Row],[Año]],1,1)</f>
        <v>43466</v>
      </c>
      <c r="E148">
        <v>1.0469999999999999</v>
      </c>
      <c r="F148">
        <v>3</v>
      </c>
      <c r="G148" s="8">
        <f>DATE(1,Tabla2[[#This Row],[Mes]],1)</f>
        <v>426</v>
      </c>
      <c r="H148" s="10" t="s">
        <v>11</v>
      </c>
      <c r="I148" s="10" t="s">
        <v>165</v>
      </c>
    </row>
    <row r="149" spans="1:9" x14ac:dyDescent="0.25">
      <c r="A149" s="3">
        <v>43585</v>
      </c>
      <c r="B149">
        <v>3.4</v>
      </c>
      <c r="C149">
        <v>2019</v>
      </c>
      <c r="D149" s="6">
        <f>DATE(Tabla2[[#This Row],[Año]],1,1)</f>
        <v>43466</v>
      </c>
      <c r="E149">
        <v>1.034</v>
      </c>
      <c r="F149">
        <v>4</v>
      </c>
      <c r="G149" s="8">
        <f>DATE(1,Tabla2[[#This Row],[Mes]],1)</f>
        <v>457</v>
      </c>
      <c r="H149" s="10" t="s">
        <v>13</v>
      </c>
      <c r="I149" s="10" t="s">
        <v>166</v>
      </c>
    </row>
    <row r="150" spans="1:9" x14ac:dyDescent="0.25">
      <c r="A150" s="3">
        <v>43616</v>
      </c>
      <c r="B150">
        <v>3.1</v>
      </c>
      <c r="C150">
        <v>2019</v>
      </c>
      <c r="D150" s="6">
        <f>DATE(Tabla2[[#This Row],[Año]],1,1)</f>
        <v>43466</v>
      </c>
      <c r="E150">
        <v>1.0309999999999999</v>
      </c>
      <c r="F150">
        <v>5</v>
      </c>
      <c r="G150" s="8">
        <f>DATE(1,Tabla2[[#This Row],[Mes]],1)</f>
        <v>487</v>
      </c>
      <c r="H150" s="10" t="s">
        <v>15</v>
      </c>
      <c r="I150" s="10" t="s">
        <v>167</v>
      </c>
    </row>
    <row r="151" spans="1:9" x14ac:dyDescent="0.25">
      <c r="A151" s="3">
        <v>43646</v>
      </c>
      <c r="B151">
        <v>2.7</v>
      </c>
      <c r="C151">
        <v>2019</v>
      </c>
      <c r="D151" s="6">
        <f>DATE(Tabla2[[#This Row],[Año]],1,1)</f>
        <v>43466</v>
      </c>
      <c r="E151">
        <v>1.0269999999999999</v>
      </c>
      <c r="F151">
        <v>6</v>
      </c>
      <c r="G151" s="8">
        <f>DATE(1,Tabla2[[#This Row],[Mes]],1)</f>
        <v>518</v>
      </c>
      <c r="H151" s="10" t="s">
        <v>17</v>
      </c>
      <c r="I151" s="10" t="s">
        <v>168</v>
      </c>
    </row>
    <row r="152" spans="1:9" x14ac:dyDescent="0.25">
      <c r="A152" s="3">
        <v>43677</v>
      </c>
      <c r="B152">
        <v>2.2000000000000002</v>
      </c>
      <c r="C152">
        <v>2019</v>
      </c>
      <c r="D152" s="6">
        <f>DATE(Tabla2[[#This Row],[Año]],1,1)</f>
        <v>43466</v>
      </c>
      <c r="E152">
        <v>1.022</v>
      </c>
      <c r="F152">
        <v>7</v>
      </c>
      <c r="G152" s="8">
        <f>DATE(1,Tabla2[[#This Row],[Mes]],1)</f>
        <v>548</v>
      </c>
      <c r="H152" s="10" t="s">
        <v>19</v>
      </c>
      <c r="I152" s="10" t="s">
        <v>169</v>
      </c>
    </row>
    <row r="153" spans="1:9" x14ac:dyDescent="0.25">
      <c r="A153" s="3">
        <v>43708</v>
      </c>
      <c r="B153">
        <v>4</v>
      </c>
      <c r="C153">
        <v>2019</v>
      </c>
      <c r="D153" s="6">
        <f>DATE(Tabla2[[#This Row],[Año]],1,1)</f>
        <v>43466</v>
      </c>
      <c r="E153">
        <v>1.04</v>
      </c>
      <c r="F153">
        <v>8</v>
      </c>
      <c r="G153" s="8">
        <f>DATE(1,Tabla2[[#This Row],[Mes]],1)</f>
        <v>579</v>
      </c>
      <c r="H153" s="10" t="s">
        <v>21</v>
      </c>
      <c r="I153" s="10" t="s">
        <v>170</v>
      </c>
    </row>
    <row r="154" spans="1:9" x14ac:dyDescent="0.25">
      <c r="A154" s="3">
        <v>43738</v>
      </c>
      <c r="B154">
        <v>5.9</v>
      </c>
      <c r="C154">
        <v>2019</v>
      </c>
      <c r="D154" s="6">
        <f>DATE(Tabla2[[#This Row],[Año]],1,1)</f>
        <v>43466</v>
      </c>
      <c r="E154">
        <v>1.0589999999999999</v>
      </c>
      <c r="F154">
        <v>9</v>
      </c>
      <c r="G154" s="8">
        <f>DATE(1,Tabla2[[#This Row],[Mes]],1)</f>
        <v>610</v>
      </c>
      <c r="H154" s="10" t="s">
        <v>23</v>
      </c>
      <c r="I154" s="10" t="s">
        <v>171</v>
      </c>
    </row>
    <row r="155" spans="1:9" x14ac:dyDescent="0.25">
      <c r="A155" s="3">
        <v>43769</v>
      </c>
      <c r="B155">
        <v>3.3</v>
      </c>
      <c r="C155">
        <v>2019</v>
      </c>
      <c r="D155" s="6">
        <f>DATE(Tabla2[[#This Row],[Año]],1,1)</f>
        <v>43466</v>
      </c>
      <c r="E155">
        <v>1.0329999999999999</v>
      </c>
      <c r="F155">
        <v>10</v>
      </c>
      <c r="G155" s="8">
        <f>DATE(1,Tabla2[[#This Row],[Mes]],1)</f>
        <v>640</v>
      </c>
      <c r="H155" s="10" t="s">
        <v>25</v>
      </c>
      <c r="I155" s="10" t="s">
        <v>172</v>
      </c>
    </row>
    <row r="156" spans="1:9" x14ac:dyDescent="0.25">
      <c r="A156" s="3">
        <v>43799</v>
      </c>
      <c r="B156">
        <v>4.3</v>
      </c>
      <c r="C156">
        <v>2019</v>
      </c>
      <c r="D156" s="6">
        <f>DATE(Tabla2[[#This Row],[Año]],1,1)</f>
        <v>43466</v>
      </c>
      <c r="E156">
        <v>1.0429999999999999</v>
      </c>
      <c r="F156">
        <v>11</v>
      </c>
      <c r="G156" s="8">
        <f>DATE(1,Tabla2[[#This Row],[Mes]],1)</f>
        <v>671</v>
      </c>
      <c r="H156" s="10" t="s">
        <v>27</v>
      </c>
      <c r="I156" s="10" t="s">
        <v>173</v>
      </c>
    </row>
    <row r="157" spans="1:9" x14ac:dyDescent="0.25">
      <c r="A157" s="3">
        <v>43830</v>
      </c>
      <c r="B157">
        <v>3.7</v>
      </c>
      <c r="C157">
        <v>2019</v>
      </c>
      <c r="D157" s="6">
        <f>DATE(Tabla2[[#This Row],[Año]],1,1)</f>
        <v>43466</v>
      </c>
      <c r="E157">
        <v>1.0369999999999999</v>
      </c>
      <c r="F157">
        <v>12</v>
      </c>
      <c r="G157" s="8">
        <f>DATE(1,Tabla2[[#This Row],[Mes]],1)</f>
        <v>701</v>
      </c>
      <c r="H157" s="10" t="s">
        <v>29</v>
      </c>
      <c r="I157" s="10" t="s">
        <v>174</v>
      </c>
    </row>
    <row r="158" spans="1:9" x14ac:dyDescent="0.25">
      <c r="A158" s="3">
        <v>43861</v>
      </c>
      <c r="B158">
        <v>2.2999999999999998</v>
      </c>
      <c r="C158">
        <v>2020</v>
      </c>
      <c r="D158" s="6">
        <f>DATE(Tabla2[[#This Row],[Año]],1,1)</f>
        <v>43831</v>
      </c>
      <c r="E158">
        <v>1.0229999999999999</v>
      </c>
      <c r="F158">
        <v>1</v>
      </c>
      <c r="G158" s="8">
        <f>DATE(1,Tabla2[[#This Row],[Mes]],1)</f>
        <v>367</v>
      </c>
      <c r="H158" s="10" t="s">
        <v>7</v>
      </c>
      <c r="I158" s="10" t="s">
        <v>175</v>
      </c>
    </row>
    <row r="159" spans="1:9" x14ac:dyDescent="0.25">
      <c r="A159" s="3">
        <v>43890</v>
      </c>
      <c r="B159">
        <v>2</v>
      </c>
      <c r="C159">
        <v>2020</v>
      </c>
      <c r="D159" s="6">
        <f>DATE(Tabla2[[#This Row],[Año]],1,1)</f>
        <v>43831</v>
      </c>
      <c r="E159">
        <v>1.02</v>
      </c>
      <c r="F159">
        <v>2</v>
      </c>
      <c r="G159" s="8">
        <f>DATE(1,Tabla2[[#This Row],[Mes]],1)</f>
        <v>398</v>
      </c>
      <c r="H159" s="10" t="s">
        <v>9</v>
      </c>
      <c r="I159" s="10" t="s">
        <v>176</v>
      </c>
    </row>
    <row r="160" spans="1:9" x14ac:dyDescent="0.25">
      <c r="A160" s="3">
        <v>43921</v>
      </c>
      <c r="B160">
        <v>3.3</v>
      </c>
      <c r="C160">
        <v>2020</v>
      </c>
      <c r="D160" s="6">
        <f>DATE(Tabla2[[#This Row],[Año]],1,1)</f>
        <v>43831</v>
      </c>
      <c r="E160">
        <v>1.0329999999999999</v>
      </c>
      <c r="F160">
        <v>3</v>
      </c>
      <c r="G160" s="8">
        <f>DATE(1,Tabla2[[#This Row],[Mes]],1)</f>
        <v>426</v>
      </c>
      <c r="H160" s="10" t="s">
        <v>11</v>
      </c>
      <c r="I160" s="10" t="s">
        <v>177</v>
      </c>
    </row>
    <row r="161" spans="1:9" x14ac:dyDescent="0.25">
      <c r="A161" s="3">
        <v>43951</v>
      </c>
      <c r="B161">
        <v>1.5</v>
      </c>
      <c r="C161">
        <v>2020</v>
      </c>
      <c r="D161" s="6">
        <f>DATE(Tabla2[[#This Row],[Año]],1,1)</f>
        <v>43831</v>
      </c>
      <c r="E161">
        <v>1.0149999999999999</v>
      </c>
      <c r="F161">
        <v>4</v>
      </c>
      <c r="G161" s="8">
        <f>DATE(1,Tabla2[[#This Row],[Mes]],1)</f>
        <v>457</v>
      </c>
      <c r="H161" s="10" t="s">
        <v>13</v>
      </c>
      <c r="I161" s="10" t="s">
        <v>178</v>
      </c>
    </row>
    <row r="162" spans="1:9" x14ac:dyDescent="0.25">
      <c r="A162" s="3">
        <v>43982</v>
      </c>
      <c r="B162">
        <v>1.5</v>
      </c>
      <c r="C162">
        <v>2020</v>
      </c>
      <c r="D162" s="6">
        <f>DATE(Tabla2[[#This Row],[Año]],1,1)</f>
        <v>43831</v>
      </c>
      <c r="E162">
        <v>1.0149999999999999</v>
      </c>
      <c r="F162">
        <v>5</v>
      </c>
      <c r="G162" s="8">
        <f>DATE(1,Tabla2[[#This Row],[Mes]],1)</f>
        <v>487</v>
      </c>
      <c r="H162" s="10" t="s">
        <v>15</v>
      </c>
      <c r="I162" s="10" t="s">
        <v>179</v>
      </c>
    </row>
    <row r="163" spans="1:9" x14ac:dyDescent="0.25">
      <c r="A163" s="3">
        <v>44012</v>
      </c>
      <c r="B163">
        <v>2.2000000000000002</v>
      </c>
      <c r="C163">
        <v>2020</v>
      </c>
      <c r="D163" s="6">
        <f>DATE(Tabla2[[#This Row],[Año]],1,1)</f>
        <v>43831</v>
      </c>
      <c r="E163">
        <v>1.022</v>
      </c>
      <c r="F163">
        <v>6</v>
      </c>
      <c r="G163" s="8">
        <f>DATE(1,Tabla2[[#This Row],[Mes]],1)</f>
        <v>518</v>
      </c>
      <c r="H163" s="10" t="s">
        <v>17</v>
      </c>
      <c r="I163" s="10" t="s">
        <v>180</v>
      </c>
    </row>
    <row r="164" spans="1:9" x14ac:dyDescent="0.25">
      <c r="A164" s="3">
        <v>44043</v>
      </c>
      <c r="B164">
        <v>1.9</v>
      </c>
      <c r="C164">
        <v>2020</v>
      </c>
      <c r="D164" s="6">
        <f>DATE(Tabla2[[#This Row],[Año]],1,1)</f>
        <v>43831</v>
      </c>
      <c r="E164">
        <v>1.0189999999999999</v>
      </c>
      <c r="F164">
        <v>7</v>
      </c>
      <c r="G164" s="8">
        <f>DATE(1,Tabla2[[#This Row],[Mes]],1)</f>
        <v>548</v>
      </c>
      <c r="H164" s="10" t="s">
        <v>19</v>
      </c>
      <c r="I164" s="10" t="s">
        <v>181</v>
      </c>
    </row>
    <row r="165" spans="1:9" x14ac:dyDescent="0.25">
      <c r="A165" s="3">
        <v>44074</v>
      </c>
      <c r="B165">
        <v>2.7</v>
      </c>
      <c r="C165">
        <v>2020</v>
      </c>
      <c r="D165" s="6">
        <f>DATE(Tabla2[[#This Row],[Año]],1,1)</f>
        <v>43831</v>
      </c>
      <c r="E165">
        <v>1.0269999999999999</v>
      </c>
      <c r="F165">
        <v>8</v>
      </c>
      <c r="G165" s="8">
        <f>DATE(1,Tabla2[[#This Row],[Mes]],1)</f>
        <v>579</v>
      </c>
      <c r="H165" s="10" t="s">
        <v>21</v>
      </c>
      <c r="I165" s="10" t="s">
        <v>182</v>
      </c>
    </row>
    <row r="166" spans="1:9" x14ac:dyDescent="0.25">
      <c r="A166" s="3">
        <v>44104</v>
      </c>
      <c r="B166">
        <v>2.8</v>
      </c>
      <c r="C166">
        <v>2020</v>
      </c>
      <c r="D166" s="6">
        <f>DATE(Tabla2[[#This Row],[Año]],1,1)</f>
        <v>43831</v>
      </c>
      <c r="E166">
        <v>1.028</v>
      </c>
      <c r="F166">
        <v>9</v>
      </c>
      <c r="G166" s="8">
        <f>DATE(1,Tabla2[[#This Row],[Mes]],1)</f>
        <v>610</v>
      </c>
      <c r="H166" s="10" t="s">
        <v>23</v>
      </c>
      <c r="I166" s="10" t="s">
        <v>183</v>
      </c>
    </row>
    <row r="167" spans="1:9" x14ac:dyDescent="0.25">
      <c r="A167" s="3">
        <v>44135</v>
      </c>
      <c r="B167">
        <v>3.8</v>
      </c>
      <c r="C167">
        <v>2020</v>
      </c>
      <c r="D167" s="6">
        <f>DATE(Tabla2[[#This Row],[Año]],1,1)</f>
        <v>43831</v>
      </c>
      <c r="E167">
        <v>1.038</v>
      </c>
      <c r="F167">
        <v>10</v>
      </c>
      <c r="G167" s="8">
        <f>DATE(1,Tabla2[[#This Row],[Mes]],1)</f>
        <v>640</v>
      </c>
      <c r="H167" s="10" t="s">
        <v>25</v>
      </c>
      <c r="I167" s="10" t="s">
        <v>184</v>
      </c>
    </row>
    <row r="168" spans="1:9" x14ac:dyDescent="0.25">
      <c r="A168" s="3">
        <v>44165</v>
      </c>
      <c r="B168">
        <v>3.2</v>
      </c>
      <c r="C168">
        <v>2020</v>
      </c>
      <c r="D168" s="6">
        <f>DATE(Tabla2[[#This Row],[Año]],1,1)</f>
        <v>43831</v>
      </c>
      <c r="E168">
        <v>1.032</v>
      </c>
      <c r="F168">
        <v>11</v>
      </c>
      <c r="G168" s="8">
        <f>DATE(1,Tabla2[[#This Row],[Mes]],1)</f>
        <v>671</v>
      </c>
      <c r="H168" s="10" t="s">
        <v>27</v>
      </c>
      <c r="I168" s="10" t="s">
        <v>185</v>
      </c>
    </row>
    <row r="169" spans="1:9" x14ac:dyDescent="0.25">
      <c r="A169" s="3">
        <v>44196</v>
      </c>
      <c r="B169">
        <v>4</v>
      </c>
      <c r="C169">
        <v>2020</v>
      </c>
      <c r="D169" s="6">
        <f>DATE(Tabla2[[#This Row],[Año]],1,1)</f>
        <v>43831</v>
      </c>
      <c r="E169">
        <v>1.04</v>
      </c>
      <c r="F169">
        <v>12</v>
      </c>
      <c r="G169" s="8">
        <f>DATE(1,Tabla2[[#This Row],[Mes]],1)</f>
        <v>701</v>
      </c>
      <c r="H169" s="10" t="s">
        <v>29</v>
      </c>
      <c r="I169" s="10" t="s">
        <v>186</v>
      </c>
    </row>
    <row r="170" spans="1:9" x14ac:dyDescent="0.25">
      <c r="A170" s="3">
        <v>44227</v>
      </c>
      <c r="B170">
        <v>4</v>
      </c>
      <c r="C170">
        <v>2021</v>
      </c>
      <c r="D170" s="6">
        <f>DATE(Tabla2[[#This Row],[Año]],1,1)</f>
        <v>44197</v>
      </c>
      <c r="E170">
        <v>1.04</v>
      </c>
      <c r="F170">
        <v>1</v>
      </c>
      <c r="G170" s="8">
        <f>DATE(1,Tabla2[[#This Row],[Mes]],1)</f>
        <v>367</v>
      </c>
      <c r="H170" s="10" t="s">
        <v>7</v>
      </c>
      <c r="I170" s="10" t="s">
        <v>187</v>
      </c>
    </row>
    <row r="171" spans="1:9" x14ac:dyDescent="0.25">
      <c r="A171" s="3">
        <v>44255</v>
      </c>
      <c r="B171">
        <v>3.6</v>
      </c>
      <c r="C171">
        <v>2021</v>
      </c>
      <c r="D171" s="6">
        <f>DATE(Tabla2[[#This Row],[Año]],1,1)</f>
        <v>44197</v>
      </c>
      <c r="E171">
        <v>1.036</v>
      </c>
      <c r="F171">
        <v>2</v>
      </c>
      <c r="G171" s="8">
        <f>DATE(1,Tabla2[[#This Row],[Mes]],1)</f>
        <v>398</v>
      </c>
      <c r="H171" s="10" t="s">
        <v>9</v>
      </c>
      <c r="I171" s="10" t="s">
        <v>188</v>
      </c>
    </row>
    <row r="172" spans="1:9" x14ac:dyDescent="0.25">
      <c r="A172" s="3">
        <v>44286</v>
      </c>
      <c r="B172">
        <v>4.8</v>
      </c>
      <c r="C172">
        <v>2021</v>
      </c>
      <c r="D172" s="6">
        <f>DATE(Tabla2[[#This Row],[Año]],1,1)</f>
        <v>44197</v>
      </c>
      <c r="E172">
        <v>1.048</v>
      </c>
      <c r="F172">
        <v>3</v>
      </c>
      <c r="G172" s="8">
        <f>DATE(1,Tabla2[[#This Row],[Mes]],1)</f>
        <v>426</v>
      </c>
      <c r="H172" s="10" t="s">
        <v>11</v>
      </c>
      <c r="I172" s="10" t="s">
        <v>189</v>
      </c>
    </row>
    <row r="173" spans="1:9" x14ac:dyDescent="0.25">
      <c r="A173" s="3">
        <v>44316</v>
      </c>
      <c r="B173">
        <v>4.0999999999999996</v>
      </c>
      <c r="C173">
        <v>2021</v>
      </c>
      <c r="D173" s="6">
        <f>DATE(Tabla2[[#This Row],[Año]],1,1)</f>
        <v>44197</v>
      </c>
      <c r="E173">
        <v>1.0409999999999999</v>
      </c>
      <c r="F173">
        <v>4</v>
      </c>
      <c r="G173" s="8">
        <f>DATE(1,Tabla2[[#This Row],[Mes]],1)</f>
        <v>457</v>
      </c>
      <c r="H173" s="10" t="s">
        <v>13</v>
      </c>
      <c r="I173" s="10" t="s">
        <v>190</v>
      </c>
    </row>
    <row r="174" spans="1:9" x14ac:dyDescent="0.25">
      <c r="A174" s="3">
        <v>44347</v>
      </c>
      <c r="B174">
        <v>3.3</v>
      </c>
      <c r="C174">
        <v>2021</v>
      </c>
      <c r="D174" s="6">
        <f>DATE(Tabla2[[#This Row],[Año]],1,1)</f>
        <v>44197</v>
      </c>
      <c r="E174">
        <v>1.0329999999999999</v>
      </c>
      <c r="F174">
        <v>5</v>
      </c>
      <c r="G174" s="8">
        <f>DATE(1,Tabla2[[#This Row],[Mes]],1)</f>
        <v>487</v>
      </c>
      <c r="H174" s="10" t="s">
        <v>15</v>
      </c>
      <c r="I174" s="10" t="s">
        <v>191</v>
      </c>
    </row>
    <row r="175" spans="1:9" x14ac:dyDescent="0.25">
      <c r="A175" s="3">
        <v>44377</v>
      </c>
      <c r="B175">
        <v>3.2</v>
      </c>
      <c r="C175">
        <v>2021</v>
      </c>
      <c r="D175" s="6">
        <f>DATE(Tabla2[[#This Row],[Año]],1,1)</f>
        <v>44197</v>
      </c>
      <c r="E175">
        <v>1.032</v>
      </c>
      <c r="F175">
        <v>6</v>
      </c>
      <c r="G175" s="8">
        <f>DATE(1,Tabla2[[#This Row],[Mes]],1)</f>
        <v>518</v>
      </c>
      <c r="H175" s="10" t="s">
        <v>17</v>
      </c>
      <c r="I175" s="10" t="s">
        <v>192</v>
      </c>
    </row>
    <row r="176" spans="1:9" x14ac:dyDescent="0.25">
      <c r="A176" s="3">
        <v>44408</v>
      </c>
      <c r="B176">
        <v>3</v>
      </c>
      <c r="C176">
        <v>2021</v>
      </c>
      <c r="D176" s="6">
        <f>DATE(Tabla2[[#This Row],[Año]],1,1)</f>
        <v>44197</v>
      </c>
      <c r="E176">
        <v>1.03</v>
      </c>
      <c r="F176">
        <v>7</v>
      </c>
      <c r="G176" s="8">
        <f>DATE(1,Tabla2[[#This Row],[Mes]],1)</f>
        <v>548</v>
      </c>
      <c r="H176" s="10" t="s">
        <v>19</v>
      </c>
      <c r="I176" s="10" t="s">
        <v>193</v>
      </c>
    </row>
    <row r="177" spans="1:9" x14ac:dyDescent="0.25">
      <c r="A177" s="3">
        <v>44439</v>
      </c>
      <c r="B177">
        <v>2.5</v>
      </c>
      <c r="C177">
        <v>2021</v>
      </c>
      <c r="D177" s="6">
        <f>DATE(Tabla2[[#This Row],[Año]],1,1)</f>
        <v>44197</v>
      </c>
      <c r="E177">
        <v>1.0249999999999999</v>
      </c>
      <c r="F177">
        <v>8</v>
      </c>
      <c r="G177" s="8">
        <f>DATE(1,Tabla2[[#This Row],[Mes]],1)</f>
        <v>579</v>
      </c>
      <c r="H177" s="10" t="s">
        <v>21</v>
      </c>
      <c r="I177" s="10" t="s">
        <v>194</v>
      </c>
    </row>
    <row r="178" spans="1:9" x14ac:dyDescent="0.25">
      <c r="A178" s="3">
        <v>44469</v>
      </c>
      <c r="B178">
        <v>3.5</v>
      </c>
      <c r="C178">
        <v>2021</v>
      </c>
      <c r="D178" s="6">
        <f>DATE(Tabla2[[#This Row],[Año]],1,1)</f>
        <v>44197</v>
      </c>
      <c r="E178">
        <v>1.0349999999999999</v>
      </c>
      <c r="F178">
        <v>9</v>
      </c>
      <c r="G178" s="8">
        <f>DATE(1,Tabla2[[#This Row],[Mes]],1)</f>
        <v>610</v>
      </c>
      <c r="H178" s="10" t="s">
        <v>23</v>
      </c>
      <c r="I178" s="10" t="s">
        <v>195</v>
      </c>
    </row>
    <row r="179" spans="1:9" x14ac:dyDescent="0.25">
      <c r="A179" s="3">
        <v>44500</v>
      </c>
      <c r="B179">
        <v>3.5</v>
      </c>
      <c r="C179">
        <v>2021</v>
      </c>
      <c r="D179" s="6">
        <f>DATE(Tabla2[[#This Row],[Año]],1,1)</f>
        <v>44197</v>
      </c>
      <c r="E179">
        <v>1.0349999999999999</v>
      </c>
      <c r="F179">
        <v>10</v>
      </c>
      <c r="G179" s="8">
        <f>DATE(1,Tabla2[[#This Row],[Mes]],1)</f>
        <v>640</v>
      </c>
      <c r="H179" s="10" t="s">
        <v>25</v>
      </c>
      <c r="I179" s="10" t="s">
        <v>196</v>
      </c>
    </row>
    <row r="180" spans="1:9" x14ac:dyDescent="0.25">
      <c r="A180" s="3">
        <v>44530</v>
      </c>
      <c r="B180">
        <v>2.5</v>
      </c>
      <c r="C180">
        <v>2021</v>
      </c>
      <c r="D180" s="6">
        <f>DATE(Tabla2[[#This Row],[Año]],1,1)</f>
        <v>44197</v>
      </c>
      <c r="E180">
        <v>1.0249999999999999</v>
      </c>
      <c r="F180">
        <v>11</v>
      </c>
      <c r="G180" s="8">
        <f>DATE(1,Tabla2[[#This Row],[Mes]],1)</f>
        <v>671</v>
      </c>
      <c r="H180" s="10" t="s">
        <v>27</v>
      </c>
      <c r="I180" s="10" t="s">
        <v>197</v>
      </c>
    </row>
    <row r="181" spans="1:9" x14ac:dyDescent="0.25">
      <c r="A181" s="3">
        <v>44561</v>
      </c>
      <c r="B181">
        <v>3.8</v>
      </c>
      <c r="C181">
        <v>2021</v>
      </c>
      <c r="D181" s="6">
        <f>DATE(Tabla2[[#This Row],[Año]],1,1)</f>
        <v>44197</v>
      </c>
      <c r="E181">
        <v>1.038</v>
      </c>
      <c r="F181">
        <v>12</v>
      </c>
      <c r="G181" s="8">
        <f>DATE(1,Tabla2[[#This Row],[Mes]],1)</f>
        <v>701</v>
      </c>
      <c r="H181" s="10" t="s">
        <v>29</v>
      </c>
      <c r="I181" s="10" t="s">
        <v>198</v>
      </c>
    </row>
    <row r="182" spans="1:9" x14ac:dyDescent="0.25">
      <c r="A182" s="3">
        <v>44592</v>
      </c>
      <c r="B182">
        <v>3.9</v>
      </c>
      <c r="C182">
        <v>2022</v>
      </c>
      <c r="D182" s="6">
        <f>DATE(Tabla2[[#This Row],[Año]],1,1)</f>
        <v>44562</v>
      </c>
      <c r="E182">
        <v>1.0389999999999999</v>
      </c>
      <c r="F182">
        <v>1</v>
      </c>
      <c r="G182" s="8">
        <f>DATE(1,Tabla2[[#This Row],[Mes]],1)</f>
        <v>367</v>
      </c>
      <c r="H182" s="10" t="s">
        <v>7</v>
      </c>
      <c r="I182" s="10" t="s">
        <v>199</v>
      </c>
    </row>
    <row r="183" spans="1:9" x14ac:dyDescent="0.25">
      <c r="A183" s="3">
        <v>44620</v>
      </c>
      <c r="B183">
        <v>4.7</v>
      </c>
      <c r="C183">
        <v>2022</v>
      </c>
      <c r="D183" s="6">
        <f>DATE(Tabla2[[#This Row],[Año]],1,1)</f>
        <v>44562</v>
      </c>
      <c r="E183">
        <v>1.0469999999999999</v>
      </c>
      <c r="F183">
        <v>2</v>
      </c>
      <c r="G183" s="8">
        <f>DATE(1,Tabla2[[#This Row],[Mes]],1)</f>
        <v>398</v>
      </c>
      <c r="H183" s="10" t="s">
        <v>9</v>
      </c>
      <c r="I183" s="10" t="s">
        <v>200</v>
      </c>
    </row>
    <row r="184" spans="1:9" x14ac:dyDescent="0.25">
      <c r="A184" s="3">
        <v>44651</v>
      </c>
      <c r="B184">
        <v>6.7</v>
      </c>
      <c r="C184">
        <v>2022</v>
      </c>
      <c r="D184" s="6">
        <f>DATE(Tabla2[[#This Row],[Año]],1,1)</f>
        <v>44562</v>
      </c>
      <c r="E184">
        <v>1.0669999999999999</v>
      </c>
      <c r="F184">
        <v>3</v>
      </c>
      <c r="G184" s="8">
        <f>DATE(1,Tabla2[[#This Row],[Mes]],1)</f>
        <v>426</v>
      </c>
      <c r="H184" s="10" t="s">
        <v>11</v>
      </c>
      <c r="I184" s="10" t="s">
        <v>201</v>
      </c>
    </row>
    <row r="185" spans="1:9" x14ac:dyDescent="0.25">
      <c r="A185" s="3">
        <v>44681</v>
      </c>
      <c r="B185">
        <v>6</v>
      </c>
      <c r="C185">
        <v>2022</v>
      </c>
      <c r="D185" s="6">
        <f>DATE(Tabla2[[#This Row],[Año]],1,1)</f>
        <v>44562</v>
      </c>
      <c r="E185">
        <v>1.06</v>
      </c>
      <c r="F185">
        <v>4</v>
      </c>
      <c r="G185" s="8">
        <f>DATE(1,Tabla2[[#This Row],[Mes]],1)</f>
        <v>457</v>
      </c>
      <c r="H185" s="10" t="s">
        <v>13</v>
      </c>
      <c r="I185" s="10" t="s">
        <v>202</v>
      </c>
    </row>
    <row r="186" spans="1:9" x14ac:dyDescent="0.25">
      <c r="A186" s="3">
        <v>44712</v>
      </c>
      <c r="B186">
        <v>5.0999999999999996</v>
      </c>
      <c r="C186">
        <v>2022</v>
      </c>
      <c r="D186" s="6">
        <f>DATE(Tabla2[[#This Row],[Año]],1,1)</f>
        <v>44562</v>
      </c>
      <c r="E186">
        <v>1.0509999999999999</v>
      </c>
      <c r="F186">
        <v>5</v>
      </c>
      <c r="G186" s="8">
        <f>DATE(1,Tabla2[[#This Row],[Mes]],1)</f>
        <v>487</v>
      </c>
      <c r="H186" s="10" t="s">
        <v>15</v>
      </c>
      <c r="I186" s="10" t="s">
        <v>203</v>
      </c>
    </row>
    <row r="187" spans="1:9" x14ac:dyDescent="0.25">
      <c r="A187" s="3">
        <v>44742</v>
      </c>
      <c r="B187">
        <v>5.3</v>
      </c>
      <c r="C187">
        <v>2022</v>
      </c>
      <c r="D187" s="6">
        <f>DATE(Tabla2[[#This Row],[Año]],1,1)</f>
        <v>44562</v>
      </c>
      <c r="E187">
        <v>1.0529999999999999</v>
      </c>
      <c r="F187">
        <v>6</v>
      </c>
      <c r="G187" s="8">
        <f>DATE(1,Tabla2[[#This Row],[Mes]],1)</f>
        <v>518</v>
      </c>
      <c r="H187" s="10" t="s">
        <v>17</v>
      </c>
      <c r="I187" s="10" t="s">
        <v>204</v>
      </c>
    </row>
    <row r="188" spans="1:9" x14ac:dyDescent="0.25">
      <c r="A188" s="3">
        <v>44773</v>
      </c>
      <c r="B188">
        <v>7.4</v>
      </c>
      <c r="C188">
        <v>2022</v>
      </c>
      <c r="D188" s="6">
        <f>DATE(Tabla2[[#This Row],[Año]],1,1)</f>
        <v>44562</v>
      </c>
      <c r="E188">
        <v>1.0740000000000001</v>
      </c>
      <c r="F188">
        <v>7</v>
      </c>
      <c r="G188" s="8">
        <f>DATE(1,Tabla2[[#This Row],[Mes]],1)</f>
        <v>548</v>
      </c>
      <c r="H188" s="10" t="s">
        <v>19</v>
      </c>
      <c r="I188" s="10" t="s">
        <v>205</v>
      </c>
    </row>
    <row r="189" spans="1:9" x14ac:dyDescent="0.25">
      <c r="A189" s="3">
        <v>44804</v>
      </c>
      <c r="B189">
        <v>7</v>
      </c>
      <c r="C189">
        <v>2022</v>
      </c>
      <c r="D189" s="6">
        <f>DATE(Tabla2[[#This Row],[Año]],1,1)</f>
        <v>44562</v>
      </c>
      <c r="E189">
        <v>1.07</v>
      </c>
      <c r="F189">
        <v>8</v>
      </c>
      <c r="G189" s="8">
        <f>DATE(1,Tabla2[[#This Row],[Mes]],1)</f>
        <v>579</v>
      </c>
      <c r="H189" s="10" t="s">
        <v>21</v>
      </c>
      <c r="I189" s="10" t="s">
        <v>206</v>
      </c>
    </row>
    <row r="190" spans="1:9" x14ac:dyDescent="0.25">
      <c r="A190" s="3">
        <v>44834</v>
      </c>
      <c r="B190">
        <v>6.2</v>
      </c>
      <c r="C190">
        <v>2022</v>
      </c>
      <c r="D190" s="6">
        <f>DATE(Tabla2[[#This Row],[Año]],1,1)</f>
        <v>44562</v>
      </c>
      <c r="E190">
        <v>1.0620000000000001</v>
      </c>
      <c r="F190">
        <v>9</v>
      </c>
      <c r="G190" s="8">
        <f>DATE(1,Tabla2[[#This Row],[Mes]],1)</f>
        <v>610</v>
      </c>
      <c r="H190" s="10" t="s">
        <v>23</v>
      </c>
      <c r="I190" s="10" t="s">
        <v>207</v>
      </c>
    </row>
    <row r="191" spans="1:9" x14ac:dyDescent="0.25">
      <c r="A191" s="3">
        <v>44865</v>
      </c>
      <c r="B191">
        <v>6.3</v>
      </c>
      <c r="C191">
        <v>2022</v>
      </c>
      <c r="D191" s="6">
        <f>DATE(Tabla2[[#This Row],[Año]],1,1)</f>
        <v>44562</v>
      </c>
      <c r="E191">
        <v>1.0629999999999999</v>
      </c>
      <c r="F191">
        <v>10</v>
      </c>
      <c r="G191" s="8">
        <f>DATE(1,Tabla2[[#This Row],[Mes]],1)</f>
        <v>640</v>
      </c>
      <c r="H191" s="10" t="s">
        <v>25</v>
      </c>
      <c r="I191" s="10" t="s">
        <v>208</v>
      </c>
    </row>
    <row r="192" spans="1:9" x14ac:dyDescent="0.25">
      <c r="A192" s="3">
        <v>44895</v>
      </c>
      <c r="B192">
        <v>4.9000000000000004</v>
      </c>
      <c r="C192">
        <v>2022</v>
      </c>
      <c r="D192" s="6">
        <f>DATE(Tabla2[[#This Row],[Año]],1,1)</f>
        <v>44562</v>
      </c>
      <c r="E192">
        <v>1.0489999999999999</v>
      </c>
      <c r="F192">
        <v>11</v>
      </c>
      <c r="G192" s="8">
        <f>DATE(1,Tabla2[[#This Row],[Mes]],1)</f>
        <v>671</v>
      </c>
      <c r="H192" s="10" t="s">
        <v>27</v>
      </c>
      <c r="I192" s="10" t="s">
        <v>209</v>
      </c>
    </row>
    <row r="193" spans="1:9" x14ac:dyDescent="0.25">
      <c r="A193" s="3">
        <v>44926</v>
      </c>
      <c r="B193">
        <v>5.0999999999999996</v>
      </c>
      <c r="C193">
        <v>2022</v>
      </c>
      <c r="D193" s="6">
        <f>DATE(Tabla2[[#This Row],[Año]],1,1)</f>
        <v>44562</v>
      </c>
      <c r="E193">
        <v>1.0509999999999999</v>
      </c>
      <c r="F193">
        <v>12</v>
      </c>
      <c r="G193" s="8">
        <f>DATE(1,Tabla2[[#This Row],[Mes]],1)</f>
        <v>701</v>
      </c>
      <c r="H193" s="10" t="s">
        <v>29</v>
      </c>
      <c r="I193" s="10" t="s">
        <v>210</v>
      </c>
    </row>
    <row r="194" spans="1:9" x14ac:dyDescent="0.25">
      <c r="A194" s="3">
        <v>44957</v>
      </c>
      <c r="B194">
        <v>6</v>
      </c>
      <c r="C194">
        <v>2023</v>
      </c>
      <c r="D194" s="6">
        <f>DATE(Tabla2[[#This Row],[Año]],1,1)</f>
        <v>44927</v>
      </c>
      <c r="E194">
        <v>1.06</v>
      </c>
      <c r="F194">
        <v>1</v>
      </c>
      <c r="G194" s="8">
        <f>DATE(1,Tabla2[[#This Row],[Mes]],1)</f>
        <v>367</v>
      </c>
      <c r="H194" s="10" t="s">
        <v>7</v>
      </c>
      <c r="I194" s="10" t="s">
        <v>211</v>
      </c>
    </row>
    <row r="195" spans="1:9" x14ac:dyDescent="0.25">
      <c r="A195" s="3">
        <v>44985</v>
      </c>
      <c r="B195">
        <v>6.6</v>
      </c>
      <c r="C195">
        <v>2023</v>
      </c>
      <c r="D195" s="6">
        <f>DATE(Tabla2[[#This Row],[Año]],1,1)</f>
        <v>44927</v>
      </c>
      <c r="E195">
        <v>1.0660000000000001</v>
      </c>
      <c r="F195">
        <v>2</v>
      </c>
      <c r="G195" s="8">
        <f>DATE(1,Tabla2[[#This Row],[Mes]],1)</f>
        <v>398</v>
      </c>
      <c r="H195" s="10" t="s">
        <v>9</v>
      </c>
      <c r="I195" s="10" t="s">
        <v>212</v>
      </c>
    </row>
    <row r="196" spans="1:9" x14ac:dyDescent="0.25">
      <c r="A196" s="3">
        <v>45016</v>
      </c>
      <c r="B196">
        <v>7.7</v>
      </c>
      <c r="C196">
        <v>2023</v>
      </c>
      <c r="D196" s="6">
        <f>DATE(Tabla2[[#This Row],[Año]],1,1)</f>
        <v>44927</v>
      </c>
      <c r="E196">
        <v>1.077</v>
      </c>
      <c r="F196">
        <v>3</v>
      </c>
      <c r="G196" s="8">
        <f>DATE(1,Tabla2[[#This Row],[Mes]],1)</f>
        <v>426</v>
      </c>
      <c r="H196" s="10" t="s">
        <v>11</v>
      </c>
      <c r="I196" s="10" t="s">
        <v>213</v>
      </c>
    </row>
    <row r="197" spans="1:9" x14ac:dyDescent="0.25">
      <c r="A197" s="3">
        <v>45046</v>
      </c>
      <c r="B197">
        <v>8.4</v>
      </c>
      <c r="C197">
        <v>2023</v>
      </c>
      <c r="D197" s="6">
        <f>DATE(Tabla2[[#This Row],[Año]],1,1)</f>
        <v>44927</v>
      </c>
      <c r="E197">
        <v>1.0840000000000001</v>
      </c>
      <c r="F197">
        <v>4</v>
      </c>
      <c r="G197" s="8">
        <f>DATE(1,Tabla2[[#This Row],[Mes]],1)</f>
        <v>457</v>
      </c>
      <c r="H197" s="10" t="s">
        <v>13</v>
      </c>
      <c r="I197" s="10" t="s">
        <v>214</v>
      </c>
    </row>
    <row r="198" spans="1:9" x14ac:dyDescent="0.25">
      <c r="A198" s="3">
        <v>45077</v>
      </c>
      <c r="B198">
        <v>7.8</v>
      </c>
      <c r="C198">
        <v>2023</v>
      </c>
      <c r="D198" s="6">
        <f>DATE(Tabla2[[#This Row],[Año]],1,1)</f>
        <v>44927</v>
      </c>
      <c r="E198">
        <v>1.0780000000000001</v>
      </c>
      <c r="F198">
        <v>5</v>
      </c>
      <c r="G198" s="8">
        <f>DATE(1,Tabla2[[#This Row],[Mes]],1)</f>
        <v>487</v>
      </c>
      <c r="H198" s="10" t="s">
        <v>15</v>
      </c>
      <c r="I198" s="10" t="s">
        <v>215</v>
      </c>
    </row>
    <row r="199" spans="1:9" x14ac:dyDescent="0.25">
      <c r="A199" s="3">
        <v>45107</v>
      </c>
      <c r="B199">
        <v>6</v>
      </c>
      <c r="C199">
        <v>2023</v>
      </c>
      <c r="D199" s="6">
        <f>DATE(Tabla2[[#This Row],[Año]],1,1)</f>
        <v>44927</v>
      </c>
      <c r="E199">
        <v>1.06</v>
      </c>
      <c r="F199">
        <v>6</v>
      </c>
      <c r="G199" s="8">
        <f>DATE(1,Tabla2[[#This Row],[Mes]],1)</f>
        <v>518</v>
      </c>
      <c r="H199" s="10" t="s">
        <v>17</v>
      </c>
      <c r="I199" s="10" t="s">
        <v>216</v>
      </c>
    </row>
    <row r="200" spans="1:9" x14ac:dyDescent="0.25">
      <c r="A200" s="3">
        <v>45138</v>
      </c>
      <c r="B200">
        <v>6.3</v>
      </c>
      <c r="C200">
        <v>2023</v>
      </c>
      <c r="D200" s="6">
        <f>DATE(Tabla2[[#This Row],[Año]],1,1)</f>
        <v>44927</v>
      </c>
      <c r="E200">
        <v>1.0629999999999999</v>
      </c>
      <c r="F200">
        <v>7</v>
      </c>
      <c r="G200" s="8">
        <f>DATE(1,Tabla2[[#This Row],[Mes]],1)</f>
        <v>548</v>
      </c>
      <c r="H200" s="10" t="s">
        <v>19</v>
      </c>
      <c r="I200" s="10" t="s">
        <v>217</v>
      </c>
    </row>
    <row r="201" spans="1:9" x14ac:dyDescent="0.25">
      <c r="A201" s="3">
        <v>45169</v>
      </c>
      <c r="B201">
        <v>12.4</v>
      </c>
      <c r="C201">
        <v>2023</v>
      </c>
      <c r="D201" s="6">
        <f>DATE(Tabla2[[#This Row],[Año]],1,1)</f>
        <v>44927</v>
      </c>
      <c r="E201">
        <v>1.1240000000000001</v>
      </c>
      <c r="F201">
        <v>8</v>
      </c>
      <c r="G201" s="8">
        <f>DATE(1,Tabla2[[#This Row],[Mes]],1)</f>
        <v>579</v>
      </c>
      <c r="H201" s="10" t="s">
        <v>21</v>
      </c>
      <c r="I201" s="10" t="s">
        <v>218</v>
      </c>
    </row>
    <row r="202" spans="1:9" x14ac:dyDescent="0.25">
      <c r="A202" s="3">
        <v>45199</v>
      </c>
      <c r="B202">
        <v>12.7</v>
      </c>
      <c r="C202">
        <v>2023</v>
      </c>
      <c r="D202" s="6">
        <f>DATE(Tabla2[[#This Row],[Año]],1,1)</f>
        <v>44927</v>
      </c>
      <c r="E202">
        <v>1.127</v>
      </c>
      <c r="F202">
        <v>9</v>
      </c>
      <c r="G202" s="8">
        <f>DATE(1,Tabla2[[#This Row],[Mes]],1)</f>
        <v>610</v>
      </c>
      <c r="H202" s="10" t="s">
        <v>23</v>
      </c>
      <c r="I202" s="10" t="s">
        <v>219</v>
      </c>
    </row>
    <row r="203" spans="1:9" x14ac:dyDescent="0.25">
      <c r="A203" s="3">
        <v>45230</v>
      </c>
      <c r="B203">
        <v>8.3000000000000007</v>
      </c>
      <c r="C203">
        <v>2023</v>
      </c>
      <c r="D203" s="6">
        <f>DATE(Tabla2[[#This Row],[Año]],1,1)</f>
        <v>44927</v>
      </c>
      <c r="E203">
        <v>1.083</v>
      </c>
      <c r="F203">
        <v>10</v>
      </c>
      <c r="G203" s="8">
        <f>DATE(1,Tabla2[[#This Row],[Mes]],1)</f>
        <v>640</v>
      </c>
      <c r="H203" s="10" t="s">
        <v>25</v>
      </c>
      <c r="I203" s="10" t="s">
        <v>220</v>
      </c>
    </row>
    <row r="204" spans="1:9" x14ac:dyDescent="0.25">
      <c r="A204" s="3">
        <v>45260</v>
      </c>
      <c r="B204">
        <v>12.8</v>
      </c>
      <c r="C204">
        <v>2023</v>
      </c>
      <c r="D204" s="6">
        <f>DATE(Tabla2[[#This Row],[Año]],1,1)</f>
        <v>44927</v>
      </c>
      <c r="E204">
        <v>1.1279999999999999</v>
      </c>
      <c r="F204">
        <v>11</v>
      </c>
      <c r="G204" s="8">
        <f>DATE(1,Tabla2[[#This Row],[Mes]],1)</f>
        <v>671</v>
      </c>
      <c r="H204" s="10" t="s">
        <v>27</v>
      </c>
      <c r="I204" s="10" t="s">
        <v>221</v>
      </c>
    </row>
    <row r="205" spans="1:9" x14ac:dyDescent="0.25">
      <c r="A205" s="3">
        <v>45291</v>
      </c>
      <c r="B205">
        <v>25.5</v>
      </c>
      <c r="C205">
        <v>2023</v>
      </c>
      <c r="D205" s="6">
        <f>DATE(Tabla2[[#This Row],[Año]],1,1)</f>
        <v>44927</v>
      </c>
      <c r="E205">
        <v>1.2549999999999999</v>
      </c>
      <c r="F205">
        <v>12</v>
      </c>
      <c r="G205" s="8">
        <f>DATE(1,Tabla2[[#This Row],[Mes]],1)</f>
        <v>701</v>
      </c>
      <c r="H205" s="10" t="s">
        <v>29</v>
      </c>
      <c r="I205" s="10" t="s">
        <v>222</v>
      </c>
    </row>
    <row r="206" spans="1:9" x14ac:dyDescent="0.25">
      <c r="A206" s="3">
        <v>45322</v>
      </c>
      <c r="B206">
        <v>20.6</v>
      </c>
      <c r="C206">
        <v>2024</v>
      </c>
      <c r="D206" s="6">
        <f>DATE(Tabla2[[#This Row],[Año]],1,1)</f>
        <v>45292</v>
      </c>
      <c r="E206">
        <v>1.206</v>
      </c>
      <c r="F206">
        <v>1</v>
      </c>
      <c r="G206" s="8">
        <f>DATE(1,Tabla2[[#This Row],[Mes]],1)</f>
        <v>367</v>
      </c>
      <c r="H206" s="10" t="s">
        <v>7</v>
      </c>
      <c r="I206" s="10" t="s">
        <v>223</v>
      </c>
    </row>
    <row r="207" spans="1:9" x14ac:dyDescent="0.25">
      <c r="A207" s="3">
        <v>45351</v>
      </c>
      <c r="B207">
        <v>13.2</v>
      </c>
      <c r="C207">
        <v>2024</v>
      </c>
      <c r="D207" s="6">
        <f>DATE(Tabla2[[#This Row],[Año]],1,1)</f>
        <v>45292</v>
      </c>
      <c r="E207">
        <v>1.1319999999999999</v>
      </c>
      <c r="F207">
        <v>2</v>
      </c>
      <c r="G207" s="8">
        <f>DATE(1,Tabla2[[#This Row],[Mes]],1)</f>
        <v>398</v>
      </c>
      <c r="H207" s="10" t="s">
        <v>9</v>
      </c>
      <c r="I207" s="10" t="s">
        <v>224</v>
      </c>
    </row>
    <row r="208" spans="1:9" x14ac:dyDescent="0.25">
      <c r="A208" s="3">
        <v>45382</v>
      </c>
      <c r="B208">
        <v>11</v>
      </c>
      <c r="C208">
        <v>2024</v>
      </c>
      <c r="D208" s="6">
        <f>DATE(Tabla2[[#This Row],[Año]],1,1)</f>
        <v>45292</v>
      </c>
      <c r="E208">
        <v>1.1100000000000001</v>
      </c>
      <c r="F208">
        <v>3</v>
      </c>
      <c r="G208" s="8">
        <f>DATE(1,Tabla2[[#This Row],[Mes]],1)</f>
        <v>426</v>
      </c>
      <c r="H208" s="10" t="s">
        <v>11</v>
      </c>
      <c r="I208" s="10" t="s">
        <v>225</v>
      </c>
    </row>
    <row r="209" spans="1:9" x14ac:dyDescent="0.25">
      <c r="A209" s="3">
        <v>45412</v>
      </c>
      <c r="B209">
        <v>8.8000000000000007</v>
      </c>
      <c r="C209">
        <v>2024</v>
      </c>
      <c r="D209" s="6">
        <f>DATE(Tabla2[[#This Row],[Año]],1,1)</f>
        <v>45292</v>
      </c>
      <c r="E209">
        <v>1.0880000000000001</v>
      </c>
      <c r="F209">
        <v>4</v>
      </c>
      <c r="G209" s="8">
        <f>DATE(1,Tabla2[[#This Row],[Mes]],1)</f>
        <v>457</v>
      </c>
      <c r="H209" s="10" t="s">
        <v>13</v>
      </c>
      <c r="I209" s="10" t="s">
        <v>226</v>
      </c>
    </row>
    <row r="210" spans="1:9" x14ac:dyDescent="0.25">
      <c r="A210" s="3">
        <v>45443</v>
      </c>
      <c r="B210">
        <v>4.2</v>
      </c>
      <c r="C210">
        <v>2024</v>
      </c>
      <c r="D210" s="6">
        <f>DATE(Tabla2[[#This Row],[Año]],1,1)</f>
        <v>45292</v>
      </c>
      <c r="E210">
        <v>1.042</v>
      </c>
      <c r="F210">
        <v>5</v>
      </c>
      <c r="G210" s="8">
        <f>DATE(1,Tabla2[[#This Row],[Mes]],1)</f>
        <v>487</v>
      </c>
      <c r="H210" s="10" t="s">
        <v>15</v>
      </c>
      <c r="I210" s="10" t="s">
        <v>227</v>
      </c>
    </row>
    <row r="211" spans="1:9" x14ac:dyDescent="0.25">
      <c r="A211" s="3">
        <v>45473</v>
      </c>
      <c r="B211">
        <v>4.5999999999999996</v>
      </c>
      <c r="C211">
        <v>2024</v>
      </c>
      <c r="D211" s="6">
        <f>DATE(Tabla2[[#This Row],[Año]],1,1)</f>
        <v>45292</v>
      </c>
      <c r="E211">
        <v>1.046</v>
      </c>
      <c r="F211">
        <v>6</v>
      </c>
      <c r="G211" s="8">
        <f>DATE(1,Tabla2[[#This Row],[Mes]],1)</f>
        <v>518</v>
      </c>
      <c r="H211" s="10" t="s">
        <v>17</v>
      </c>
      <c r="I211" s="10" t="s">
        <v>228</v>
      </c>
    </row>
    <row r="212" spans="1:9" x14ac:dyDescent="0.25">
      <c r="A212" s="3">
        <v>45504</v>
      </c>
      <c r="B212">
        <v>4</v>
      </c>
      <c r="C212">
        <v>2024</v>
      </c>
      <c r="D212" s="6">
        <f>DATE(Tabla2[[#This Row],[Año]],1,1)</f>
        <v>45292</v>
      </c>
      <c r="E212">
        <v>1.04</v>
      </c>
      <c r="F212">
        <v>7</v>
      </c>
      <c r="G212" s="8">
        <f>DATE(1,Tabla2[[#This Row],[Mes]],1)</f>
        <v>548</v>
      </c>
      <c r="H212" s="10" t="s">
        <v>19</v>
      </c>
      <c r="I212" s="10" t="s">
        <v>229</v>
      </c>
    </row>
    <row r="213" spans="1:9" x14ac:dyDescent="0.25">
      <c r="A213" s="3">
        <v>45535</v>
      </c>
      <c r="B213">
        <v>4.2</v>
      </c>
      <c r="C213">
        <v>2024</v>
      </c>
      <c r="D213" s="6">
        <f>DATE(Tabla2[[#This Row],[Año]],1,1)</f>
        <v>45292</v>
      </c>
      <c r="E213">
        <v>1.042</v>
      </c>
      <c r="F213">
        <v>8</v>
      </c>
      <c r="G213" s="8">
        <f>DATE(1,Tabla2[[#This Row],[Mes]],1)</f>
        <v>579</v>
      </c>
      <c r="H213" s="10" t="s">
        <v>21</v>
      </c>
      <c r="I213" s="10" t="s">
        <v>230</v>
      </c>
    </row>
    <row r="214" spans="1:9" x14ac:dyDescent="0.25">
      <c r="A214" s="3">
        <v>45565</v>
      </c>
      <c r="B214">
        <v>3.5</v>
      </c>
      <c r="C214">
        <v>2024</v>
      </c>
      <c r="D214" s="6">
        <f>DATE(Tabla2[[#This Row],[Año]],1,1)</f>
        <v>45292</v>
      </c>
      <c r="E214">
        <v>1.0349999999999999</v>
      </c>
      <c r="F214">
        <v>9</v>
      </c>
      <c r="G214" s="8">
        <f>DATE(1,Tabla2[[#This Row],[Mes]],1)</f>
        <v>610</v>
      </c>
      <c r="H214" s="10" t="s">
        <v>23</v>
      </c>
      <c r="I214" s="10" t="s">
        <v>231</v>
      </c>
    </row>
    <row r="215" spans="1:9" x14ac:dyDescent="0.25">
      <c r="A215" s="3">
        <v>45596</v>
      </c>
      <c r="B215">
        <v>2.7</v>
      </c>
      <c r="C215">
        <v>2024</v>
      </c>
      <c r="D215" s="6">
        <f>DATE(Tabla2[[#This Row],[Año]],1,1)</f>
        <v>45292</v>
      </c>
      <c r="E215">
        <v>1.0269999999999999</v>
      </c>
      <c r="F215">
        <v>10</v>
      </c>
      <c r="G215" s="8">
        <f>DATE(1,Tabla2[[#This Row],[Mes]],1)</f>
        <v>640</v>
      </c>
      <c r="H215" s="10" t="s">
        <v>25</v>
      </c>
      <c r="I215" s="10" t="s">
        <v>232</v>
      </c>
    </row>
    <row r="216" spans="1:9" x14ac:dyDescent="0.25">
      <c r="A216" s="3">
        <v>45626</v>
      </c>
      <c r="B216">
        <v>2.4</v>
      </c>
      <c r="C216">
        <v>2024</v>
      </c>
      <c r="D216" s="6">
        <f>DATE(Tabla2[[#This Row],[Año]],1,1)</f>
        <v>45292</v>
      </c>
      <c r="E216">
        <v>1.024</v>
      </c>
      <c r="F216">
        <v>11</v>
      </c>
      <c r="G216" s="8">
        <f>DATE(1,Tabla2[[#This Row],[Mes]],1)</f>
        <v>671</v>
      </c>
      <c r="H216" s="10" t="s">
        <v>27</v>
      </c>
      <c r="I216" s="10" t="s">
        <v>233</v>
      </c>
    </row>
    <row r="217" spans="1:9" x14ac:dyDescent="0.25">
      <c r="A217" s="3">
        <v>45657</v>
      </c>
      <c r="B217">
        <v>2.7</v>
      </c>
      <c r="C217">
        <v>2024</v>
      </c>
      <c r="D217" s="6">
        <f>DATE(Tabla2[[#This Row],[Año]],1,1)</f>
        <v>45292</v>
      </c>
      <c r="E217">
        <v>1.0269999999999999</v>
      </c>
      <c r="F217">
        <v>12</v>
      </c>
      <c r="G217" s="8">
        <f>DATE(1,Tabla2[[#This Row],[Mes]],1)</f>
        <v>701</v>
      </c>
      <c r="H217" s="10" t="s">
        <v>29</v>
      </c>
      <c r="I217" s="10" t="s">
        <v>234</v>
      </c>
    </row>
    <row r="218" spans="1:9" x14ac:dyDescent="0.25">
      <c r="A218" s="3">
        <v>45688</v>
      </c>
      <c r="B218">
        <v>2.2000000000000002</v>
      </c>
      <c r="C218">
        <v>2025</v>
      </c>
      <c r="D218" s="6">
        <f>DATE(Tabla2[[#This Row],[Año]],1,1)</f>
        <v>45658</v>
      </c>
      <c r="E218">
        <v>1.022</v>
      </c>
      <c r="F218">
        <v>1</v>
      </c>
      <c r="G218" s="8">
        <f>DATE(1,Tabla2[[#This Row],[Mes]],1)</f>
        <v>367</v>
      </c>
      <c r="H218" s="10" t="s">
        <v>7</v>
      </c>
      <c r="I218" s="10" t="s">
        <v>235</v>
      </c>
    </row>
    <row r="219" spans="1:9" x14ac:dyDescent="0.25">
      <c r="A219" s="3">
        <v>45716</v>
      </c>
      <c r="B219">
        <v>2.4</v>
      </c>
      <c r="C219">
        <v>2025</v>
      </c>
      <c r="D219" s="6">
        <f>DATE(Tabla2[[#This Row],[Año]],1,1)</f>
        <v>45658</v>
      </c>
      <c r="E219">
        <v>1.024</v>
      </c>
      <c r="F219">
        <v>2</v>
      </c>
      <c r="G219" s="8">
        <f>DATE(1,Tabla2[[#This Row],[Mes]],1)</f>
        <v>398</v>
      </c>
      <c r="H219" s="10" t="s">
        <v>9</v>
      </c>
      <c r="I219" s="10" t="s">
        <v>236</v>
      </c>
    </row>
    <row r="220" spans="1:9" x14ac:dyDescent="0.25">
      <c r="A220" s="3">
        <v>45747</v>
      </c>
      <c r="B220">
        <v>3.7</v>
      </c>
      <c r="C220">
        <v>2025</v>
      </c>
      <c r="D220" s="6">
        <f>DATE(Tabla2[[#This Row],[Año]],1,1)</f>
        <v>45658</v>
      </c>
      <c r="E220">
        <v>1.0369999999999999</v>
      </c>
      <c r="F220">
        <v>3</v>
      </c>
      <c r="G220" s="8">
        <f>DATE(1,Tabla2[[#This Row],[Mes]],1)</f>
        <v>426</v>
      </c>
      <c r="H220" s="10" t="s">
        <v>11</v>
      </c>
      <c r="I220" s="10" t="s">
        <v>237</v>
      </c>
    </row>
    <row r="221" spans="1:9" x14ac:dyDescent="0.25">
      <c r="A221" s="3">
        <v>45777</v>
      </c>
      <c r="B221">
        <v>2.8</v>
      </c>
      <c r="C221">
        <v>2025</v>
      </c>
      <c r="D221" s="6">
        <f>DATE(Tabla2[[#This Row],[Año]],1,1)</f>
        <v>45658</v>
      </c>
      <c r="E221">
        <v>1.028</v>
      </c>
      <c r="F221">
        <v>4</v>
      </c>
      <c r="G221" s="8">
        <f>DATE(1,Tabla2[[#This Row],[Mes]],1)</f>
        <v>457</v>
      </c>
      <c r="H221" s="10" t="s">
        <v>13</v>
      </c>
      <c r="I221" s="10" t="s">
        <v>238</v>
      </c>
    </row>
    <row r="222" spans="1:9" x14ac:dyDescent="0.25">
      <c r="A222" s="3">
        <v>45808</v>
      </c>
      <c r="B222">
        <v>1.5</v>
      </c>
      <c r="C222">
        <v>2025</v>
      </c>
      <c r="D222" s="6">
        <f>DATE(Tabla2[[#This Row],[Año]],1,1)</f>
        <v>45658</v>
      </c>
      <c r="E222">
        <v>1.0149999999999999</v>
      </c>
      <c r="F222">
        <v>5</v>
      </c>
      <c r="G222" s="8">
        <f>DATE(1,Tabla2[[#This Row],[Mes]],1)</f>
        <v>487</v>
      </c>
      <c r="H222" s="10" t="s">
        <v>15</v>
      </c>
      <c r="I222" s="10" t="s">
        <v>239</v>
      </c>
    </row>
    <row r="223" spans="1:9" x14ac:dyDescent="0.25">
      <c r="A223" s="3">
        <v>45838</v>
      </c>
      <c r="B223">
        <v>1.6</v>
      </c>
      <c r="C223">
        <v>2025</v>
      </c>
      <c r="D223" s="6">
        <f>DATE(Tabla2[[#This Row],[Año]],1,1)</f>
        <v>45658</v>
      </c>
      <c r="E223">
        <v>1.016</v>
      </c>
      <c r="F223">
        <v>6</v>
      </c>
      <c r="G223" s="8">
        <f>DATE(1,Tabla2[[#This Row],[Mes]],1)</f>
        <v>518</v>
      </c>
      <c r="H223" s="10" t="s">
        <v>17</v>
      </c>
      <c r="I223" s="10" t="s">
        <v>240</v>
      </c>
    </row>
    <row r="224" spans="1:9" x14ac:dyDescent="0.25">
      <c r="A224" s="3">
        <v>45869</v>
      </c>
      <c r="B224">
        <v>1.9</v>
      </c>
      <c r="C224">
        <v>2025</v>
      </c>
      <c r="D224" s="6">
        <f>DATE(Tabla2[[#This Row],[Año]],1,1)</f>
        <v>45658</v>
      </c>
      <c r="E224">
        <v>1.0189999999999999</v>
      </c>
      <c r="F224">
        <v>7</v>
      </c>
      <c r="G224" s="8">
        <f>DATE(1,Tabla2[[#This Row],[Mes]],1)</f>
        <v>548</v>
      </c>
      <c r="H224" s="10" t="s">
        <v>19</v>
      </c>
      <c r="I224" s="10" t="s">
        <v>241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9"/>
  <sheetViews>
    <sheetView topLeftCell="B1" workbookViewId="0">
      <selection activeCell="C14" sqref="C14"/>
    </sheetView>
  </sheetViews>
  <sheetFormatPr baseColWidth="10" defaultColWidth="9.140625" defaultRowHeight="15" x14ac:dyDescent="0.25"/>
  <cols>
    <col min="1" max="1" width="0" hidden="1" customWidth="1"/>
    <col min="2" max="2" width="22.140625" style="6" bestFit="1" customWidth="1"/>
    <col min="3" max="3" width="19.5703125" customWidth="1"/>
  </cols>
  <sheetData>
    <row r="1" spans="1:3" x14ac:dyDescent="0.25">
      <c r="A1" s="1" t="s">
        <v>2</v>
      </c>
      <c r="B1" s="11" t="s">
        <v>245</v>
      </c>
      <c r="C1" s="1" t="s">
        <v>242</v>
      </c>
    </row>
    <row r="2" spans="1:3" x14ac:dyDescent="0.25">
      <c r="A2">
        <v>2007</v>
      </c>
      <c r="B2" s="6">
        <f t="shared" ref="B2:B19" si="0">DATE(A2,1,1)</f>
        <v>39083</v>
      </c>
      <c r="C2" s="12">
        <v>8.4041465139897511</v>
      </c>
    </row>
    <row r="3" spans="1:3" x14ac:dyDescent="0.25">
      <c r="A3">
        <v>2008</v>
      </c>
      <c r="B3" s="6">
        <f t="shared" si="0"/>
        <v>39448</v>
      </c>
      <c r="C3" s="12">
        <v>7.1189463783291718</v>
      </c>
    </row>
    <row r="4" spans="1:3" x14ac:dyDescent="0.25">
      <c r="A4">
        <v>2009</v>
      </c>
      <c r="B4" s="6">
        <f t="shared" si="0"/>
        <v>39814</v>
      </c>
      <c r="C4" s="12">
        <v>7.3330691360959266</v>
      </c>
    </row>
    <row r="5" spans="1:3" x14ac:dyDescent="0.25">
      <c r="A5">
        <v>2010</v>
      </c>
      <c r="B5" s="6">
        <f t="shared" si="0"/>
        <v>40179</v>
      </c>
      <c r="C5" s="12">
        <v>10.469534274874141</v>
      </c>
    </row>
    <row r="6" spans="1:3" x14ac:dyDescent="0.25">
      <c r="A6">
        <v>2011</v>
      </c>
      <c r="B6" s="6">
        <f t="shared" si="0"/>
        <v>40544</v>
      </c>
      <c r="C6" s="12">
        <v>9.163395621302751</v>
      </c>
    </row>
    <row r="7" spans="1:3" x14ac:dyDescent="0.25">
      <c r="A7">
        <v>2012</v>
      </c>
      <c r="B7" s="6">
        <f t="shared" si="0"/>
        <v>40909</v>
      </c>
      <c r="C7" s="12">
        <v>10.580430030796849</v>
      </c>
    </row>
    <row r="8" spans="1:3" x14ac:dyDescent="0.25">
      <c r="A8">
        <v>2013</v>
      </c>
      <c r="B8" s="6">
        <f t="shared" si="0"/>
        <v>41275</v>
      </c>
      <c r="C8" s="12">
        <v>10.687525616923031</v>
      </c>
    </row>
    <row r="9" spans="1:3" x14ac:dyDescent="0.25">
      <c r="A9">
        <v>2014</v>
      </c>
      <c r="B9" s="6">
        <f t="shared" si="0"/>
        <v>41640</v>
      </c>
      <c r="C9" s="12">
        <v>23.697587772943461</v>
      </c>
    </row>
    <row r="10" spans="1:3" x14ac:dyDescent="0.25">
      <c r="A10">
        <v>2015</v>
      </c>
      <c r="B10" s="6">
        <f t="shared" si="0"/>
        <v>42005</v>
      </c>
      <c r="C10" s="12">
        <v>18.4630788164744</v>
      </c>
    </row>
    <row r="11" spans="1:3" x14ac:dyDescent="0.25">
      <c r="A11">
        <v>2016</v>
      </c>
      <c r="B11" s="6">
        <f t="shared" si="0"/>
        <v>42370</v>
      </c>
      <c r="C11" s="12">
        <v>33.075634880830542</v>
      </c>
    </row>
    <row r="12" spans="1:3" x14ac:dyDescent="0.25">
      <c r="A12">
        <v>2017</v>
      </c>
      <c r="B12" s="6">
        <f t="shared" si="0"/>
        <v>42736</v>
      </c>
      <c r="C12" s="12">
        <v>24.699967556842449</v>
      </c>
    </row>
    <row r="13" spans="1:3" x14ac:dyDescent="0.25">
      <c r="A13">
        <v>2018</v>
      </c>
      <c r="B13" s="6">
        <f t="shared" si="0"/>
        <v>43101</v>
      </c>
      <c r="C13" s="12">
        <v>47.635160315840118</v>
      </c>
    </row>
    <row r="14" spans="1:3" x14ac:dyDescent="0.25">
      <c r="A14">
        <v>2019</v>
      </c>
      <c r="B14" s="6">
        <f t="shared" si="0"/>
        <v>43466</v>
      </c>
      <c r="C14" s="12">
        <v>53.975860249036018</v>
      </c>
    </row>
    <row r="15" spans="1:3" x14ac:dyDescent="0.25">
      <c r="A15">
        <v>2020</v>
      </c>
      <c r="B15" s="6">
        <f t="shared" si="0"/>
        <v>43831</v>
      </c>
      <c r="C15" s="12">
        <v>36.021399733133343</v>
      </c>
    </row>
    <row r="16" spans="1:3" x14ac:dyDescent="0.25">
      <c r="A16">
        <v>2021</v>
      </c>
      <c r="B16" s="6">
        <f t="shared" si="0"/>
        <v>44197</v>
      </c>
      <c r="C16" s="12">
        <v>50.781525980377587</v>
      </c>
    </row>
    <row r="17" spans="1:3" x14ac:dyDescent="0.25">
      <c r="A17">
        <v>2022</v>
      </c>
      <c r="B17" s="6">
        <f t="shared" si="0"/>
        <v>44562</v>
      </c>
      <c r="C17" s="12">
        <v>94.754564756288147</v>
      </c>
    </row>
    <row r="18" spans="1:3" x14ac:dyDescent="0.25">
      <c r="A18">
        <v>2023</v>
      </c>
      <c r="B18" s="6">
        <f t="shared" si="0"/>
        <v>44927</v>
      </c>
      <c r="C18" s="12">
        <v>211.19847167608879</v>
      </c>
    </row>
    <row r="19" spans="1:3" x14ac:dyDescent="0.25">
      <c r="A19">
        <v>2024</v>
      </c>
      <c r="B19" s="6">
        <f t="shared" si="0"/>
        <v>45292</v>
      </c>
      <c r="C19" s="12">
        <v>117.68437846889989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>
      <selection activeCell="H8" sqref="H8"/>
    </sheetView>
  </sheetViews>
  <sheetFormatPr baseColWidth="10" defaultColWidth="9.140625" defaultRowHeight="15" x14ac:dyDescent="0.25"/>
  <cols>
    <col min="1" max="1" width="14.42578125" style="10" customWidth="1"/>
    <col min="2" max="2" width="18.85546875" customWidth="1"/>
  </cols>
  <sheetData>
    <row r="1" spans="1:2" x14ac:dyDescent="0.25">
      <c r="A1" s="9" t="s">
        <v>5</v>
      </c>
      <c r="B1" s="1" t="s">
        <v>1</v>
      </c>
    </row>
    <row r="2" spans="1:2" x14ac:dyDescent="0.25">
      <c r="A2" s="10" t="s">
        <v>7</v>
      </c>
      <c r="B2" s="12">
        <v>7.3599999999999994</v>
      </c>
    </row>
    <row r="3" spans="1:2" x14ac:dyDescent="0.25">
      <c r="A3" s="10" t="s">
        <v>9</v>
      </c>
      <c r="B3" s="12">
        <v>6.02</v>
      </c>
    </row>
    <row r="4" spans="1:2" x14ac:dyDescent="0.25">
      <c r="A4" s="10" t="s">
        <v>11</v>
      </c>
      <c r="B4" s="12">
        <v>6.7</v>
      </c>
    </row>
    <row r="5" spans="1:2" x14ac:dyDescent="0.25">
      <c r="A5" s="10" t="s">
        <v>13</v>
      </c>
      <c r="B5" s="12">
        <v>5.76</v>
      </c>
    </row>
    <row r="6" spans="1:2" x14ac:dyDescent="0.25">
      <c r="A6" s="10" t="s">
        <v>15</v>
      </c>
      <c r="B6" s="12">
        <v>4.38</v>
      </c>
    </row>
    <row r="7" spans="1:2" x14ac:dyDescent="0.25">
      <c r="A7" s="10" t="s">
        <v>17</v>
      </c>
      <c r="B7" s="12">
        <v>4.26</v>
      </c>
    </row>
    <row r="8" spans="1:2" x14ac:dyDescent="0.25">
      <c r="A8" s="10" t="s">
        <v>19</v>
      </c>
      <c r="B8" s="12">
        <v>4.5199999999999996</v>
      </c>
    </row>
    <row r="9" spans="1:2" x14ac:dyDescent="0.25">
      <c r="A9" s="10" t="s">
        <v>21</v>
      </c>
      <c r="B9" s="12">
        <v>5.76</v>
      </c>
    </row>
    <row r="10" spans="1:2" x14ac:dyDescent="0.25">
      <c r="A10" s="10" t="s">
        <v>23</v>
      </c>
      <c r="B10" s="12">
        <v>5.74</v>
      </c>
    </row>
    <row r="11" spans="1:2" x14ac:dyDescent="0.25">
      <c r="A11" s="10" t="s">
        <v>25</v>
      </c>
      <c r="B11" s="12">
        <v>4.92</v>
      </c>
    </row>
    <row r="12" spans="1:2" x14ac:dyDescent="0.25">
      <c r="A12" s="10" t="s">
        <v>27</v>
      </c>
      <c r="B12" s="12">
        <v>5.16</v>
      </c>
    </row>
    <row r="13" spans="1:2" x14ac:dyDescent="0.25">
      <c r="A13" s="10" t="s">
        <v>29</v>
      </c>
      <c r="B13" s="12">
        <v>8.2200000000000006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4"/>
  <sheetViews>
    <sheetView tabSelected="1" workbookViewId="0">
      <selection activeCell="B10" sqref="B10"/>
    </sheetView>
  </sheetViews>
  <sheetFormatPr baseColWidth="10" defaultColWidth="9.140625" defaultRowHeight="15" x14ac:dyDescent="0.25"/>
  <cols>
    <col min="1" max="1" width="11.28515625" style="10" customWidth="1"/>
    <col min="2" max="2" width="18.85546875" customWidth="1"/>
  </cols>
  <sheetData>
    <row r="1" spans="1:2" x14ac:dyDescent="0.25">
      <c r="A1" s="9" t="s">
        <v>6</v>
      </c>
      <c r="B1" s="1" t="s">
        <v>1</v>
      </c>
    </row>
    <row r="2" spans="1:2" x14ac:dyDescent="0.25">
      <c r="A2" s="10" t="s">
        <v>199</v>
      </c>
      <c r="B2" s="12">
        <v>3.9</v>
      </c>
    </row>
    <row r="3" spans="1:2" x14ac:dyDescent="0.25">
      <c r="A3" s="10" t="s">
        <v>200</v>
      </c>
      <c r="B3" s="12">
        <v>4.7</v>
      </c>
    </row>
    <row r="4" spans="1:2" x14ac:dyDescent="0.25">
      <c r="A4" s="10" t="s">
        <v>201</v>
      </c>
      <c r="B4" s="12">
        <v>6.7</v>
      </c>
    </row>
    <row r="5" spans="1:2" x14ac:dyDescent="0.25">
      <c r="A5" s="10" t="s">
        <v>202</v>
      </c>
      <c r="B5" s="12">
        <v>6</v>
      </c>
    </row>
    <row r="6" spans="1:2" x14ac:dyDescent="0.25">
      <c r="A6" s="10" t="s">
        <v>203</v>
      </c>
      <c r="B6" s="12">
        <v>5.0999999999999996</v>
      </c>
    </row>
    <row r="7" spans="1:2" x14ac:dyDescent="0.25">
      <c r="A7" s="10" t="s">
        <v>204</v>
      </c>
      <c r="B7" s="12">
        <v>5.3</v>
      </c>
    </row>
    <row r="8" spans="1:2" x14ac:dyDescent="0.25">
      <c r="A8" s="10" t="s">
        <v>205</v>
      </c>
      <c r="B8" s="12">
        <v>7.4</v>
      </c>
    </row>
    <row r="9" spans="1:2" x14ac:dyDescent="0.25">
      <c r="A9" s="10" t="s">
        <v>206</v>
      </c>
      <c r="B9" s="12">
        <v>7</v>
      </c>
    </row>
    <row r="10" spans="1:2" x14ac:dyDescent="0.25">
      <c r="A10" s="10" t="s">
        <v>207</v>
      </c>
      <c r="B10" s="12">
        <v>6.2</v>
      </c>
    </row>
    <row r="11" spans="1:2" x14ac:dyDescent="0.25">
      <c r="A11" s="10" t="s">
        <v>208</v>
      </c>
      <c r="B11" s="12">
        <v>6.3</v>
      </c>
    </row>
    <row r="12" spans="1:2" x14ac:dyDescent="0.25">
      <c r="A12" s="10" t="s">
        <v>209</v>
      </c>
      <c r="B12" s="12">
        <v>4.9000000000000004</v>
      </c>
    </row>
    <row r="13" spans="1:2" x14ac:dyDescent="0.25">
      <c r="A13" s="10" t="s">
        <v>210</v>
      </c>
      <c r="B13" s="12">
        <v>5.0999999999999996</v>
      </c>
    </row>
    <row r="14" spans="1:2" x14ac:dyDescent="0.25">
      <c r="A14" s="10" t="s">
        <v>211</v>
      </c>
      <c r="B14" s="12">
        <v>6</v>
      </c>
    </row>
    <row r="15" spans="1:2" x14ac:dyDescent="0.25">
      <c r="A15" s="10" t="s">
        <v>212</v>
      </c>
      <c r="B15" s="12">
        <v>6.6</v>
      </c>
    </row>
    <row r="16" spans="1:2" x14ac:dyDescent="0.25">
      <c r="A16" s="10" t="s">
        <v>213</v>
      </c>
      <c r="B16" s="12">
        <v>7.7</v>
      </c>
    </row>
    <row r="17" spans="1:2" x14ac:dyDescent="0.25">
      <c r="A17" s="10" t="s">
        <v>214</v>
      </c>
      <c r="B17" s="12">
        <v>8.4</v>
      </c>
    </row>
    <row r="18" spans="1:2" x14ac:dyDescent="0.25">
      <c r="A18" s="10" t="s">
        <v>215</v>
      </c>
      <c r="B18" s="12">
        <v>7.8</v>
      </c>
    </row>
    <row r="19" spans="1:2" x14ac:dyDescent="0.25">
      <c r="A19" s="10" t="s">
        <v>216</v>
      </c>
      <c r="B19" s="12">
        <v>6</v>
      </c>
    </row>
    <row r="20" spans="1:2" x14ac:dyDescent="0.25">
      <c r="A20" s="10" t="s">
        <v>217</v>
      </c>
      <c r="B20" s="12">
        <v>6.3</v>
      </c>
    </row>
    <row r="21" spans="1:2" x14ac:dyDescent="0.25">
      <c r="A21" s="10" t="s">
        <v>218</v>
      </c>
      <c r="B21" s="12">
        <v>12.4</v>
      </c>
    </row>
    <row r="22" spans="1:2" x14ac:dyDescent="0.25">
      <c r="A22" s="10" t="s">
        <v>219</v>
      </c>
      <c r="B22" s="12">
        <v>12.7</v>
      </c>
    </row>
    <row r="23" spans="1:2" x14ac:dyDescent="0.25">
      <c r="A23" s="10" t="s">
        <v>220</v>
      </c>
      <c r="B23" s="12">
        <v>8.3000000000000007</v>
      </c>
    </row>
    <row r="24" spans="1:2" x14ac:dyDescent="0.25">
      <c r="A24" s="10" t="s">
        <v>221</v>
      </c>
      <c r="B24" s="12">
        <v>12.8</v>
      </c>
    </row>
    <row r="25" spans="1:2" x14ac:dyDescent="0.25">
      <c r="A25" s="10" t="s">
        <v>222</v>
      </c>
      <c r="B25" s="12">
        <v>25.5</v>
      </c>
    </row>
    <row r="26" spans="1:2" x14ac:dyDescent="0.25">
      <c r="A26" s="10" t="s">
        <v>223</v>
      </c>
      <c r="B26" s="12">
        <v>20.6</v>
      </c>
    </row>
    <row r="27" spans="1:2" x14ac:dyDescent="0.25">
      <c r="A27" s="10" t="s">
        <v>224</v>
      </c>
      <c r="B27" s="12">
        <v>13.2</v>
      </c>
    </row>
    <row r="28" spans="1:2" x14ac:dyDescent="0.25">
      <c r="A28" s="10" t="s">
        <v>225</v>
      </c>
      <c r="B28" s="12">
        <v>11</v>
      </c>
    </row>
    <row r="29" spans="1:2" x14ac:dyDescent="0.25">
      <c r="A29" s="10" t="s">
        <v>226</v>
      </c>
      <c r="B29" s="12">
        <v>8.8000000000000007</v>
      </c>
    </row>
    <row r="30" spans="1:2" x14ac:dyDescent="0.25">
      <c r="A30" s="10" t="s">
        <v>227</v>
      </c>
      <c r="B30" s="12">
        <v>4.2</v>
      </c>
    </row>
    <row r="31" spans="1:2" x14ac:dyDescent="0.25">
      <c r="A31" s="10" t="s">
        <v>228</v>
      </c>
      <c r="B31" s="12">
        <v>4.5999999999999996</v>
      </c>
    </row>
    <row r="32" spans="1:2" x14ac:dyDescent="0.25">
      <c r="A32" s="10" t="s">
        <v>229</v>
      </c>
      <c r="B32" s="12">
        <v>4</v>
      </c>
    </row>
    <row r="33" spans="1:2" x14ac:dyDescent="0.25">
      <c r="A33" s="10" t="s">
        <v>230</v>
      </c>
      <c r="B33" s="12">
        <v>4.2</v>
      </c>
    </row>
    <row r="34" spans="1:2" x14ac:dyDescent="0.25">
      <c r="A34" s="10" t="s">
        <v>231</v>
      </c>
      <c r="B34" s="12">
        <v>3.5</v>
      </c>
    </row>
    <row r="35" spans="1:2" x14ac:dyDescent="0.25">
      <c r="A35" s="10" t="s">
        <v>232</v>
      </c>
      <c r="B35" s="12">
        <v>2.7</v>
      </c>
    </row>
    <row r="36" spans="1:2" x14ac:dyDescent="0.25">
      <c r="A36" s="10" t="s">
        <v>233</v>
      </c>
      <c r="B36" s="12">
        <v>2.4</v>
      </c>
    </row>
    <row r="37" spans="1:2" x14ac:dyDescent="0.25">
      <c r="A37" s="10" t="s">
        <v>234</v>
      </c>
      <c r="B37" s="12">
        <v>2.7</v>
      </c>
    </row>
    <row r="38" spans="1:2" x14ac:dyDescent="0.25">
      <c r="A38" s="10" t="s">
        <v>235</v>
      </c>
      <c r="B38" s="12">
        <v>2.2000000000000002</v>
      </c>
    </row>
    <row r="39" spans="1:2" x14ac:dyDescent="0.25">
      <c r="A39" s="10" t="s">
        <v>236</v>
      </c>
      <c r="B39" s="12">
        <v>2.4</v>
      </c>
    </row>
    <row r="40" spans="1:2" x14ac:dyDescent="0.25">
      <c r="A40" s="10" t="s">
        <v>237</v>
      </c>
      <c r="B40" s="12">
        <v>3.7</v>
      </c>
    </row>
    <row r="41" spans="1:2" x14ac:dyDescent="0.25">
      <c r="A41" s="10" t="s">
        <v>238</v>
      </c>
      <c r="B41" s="12">
        <v>2.8</v>
      </c>
    </row>
    <row r="42" spans="1:2" x14ac:dyDescent="0.25">
      <c r="A42" s="10" t="s">
        <v>239</v>
      </c>
      <c r="B42" s="12">
        <v>1.5</v>
      </c>
    </row>
    <row r="43" spans="1:2" x14ac:dyDescent="0.25">
      <c r="A43" s="10" t="s">
        <v>240</v>
      </c>
      <c r="B43" s="12">
        <v>1.6</v>
      </c>
    </row>
    <row r="44" spans="1:2" x14ac:dyDescent="0.25">
      <c r="A44" s="10" t="s">
        <v>241</v>
      </c>
      <c r="B44" s="12">
        <v>1.9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</vt:lpstr>
      <vt:lpstr>Pregunta1_07_24</vt:lpstr>
      <vt:lpstr>Pregunta2_Promedio</vt:lpstr>
      <vt:lpstr>Pregunta3_MesAMes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costa</cp:lastModifiedBy>
  <dcterms:created xsi:type="dcterms:W3CDTF">2025-08-15T13:02:40Z</dcterms:created>
  <dcterms:modified xsi:type="dcterms:W3CDTF">2025-08-15T13:37:39Z</dcterms:modified>
</cp:coreProperties>
</file>